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55" yWindow="2700" windowWidth="14175" windowHeight="8632" tabRatio="600" firstSheet="0" activeTab="0" autoFilterDateGrouping="1"/>
  </bookViews>
  <sheets>
    <sheet xmlns:r="http://schemas.openxmlformats.org/officeDocument/2006/relationships" name="01_手动输入" sheetId="1" state="visible" r:id="rId1"/>
    <sheet xmlns:r="http://schemas.openxmlformats.org/officeDocument/2006/relationships" name="02_欧盟电池法输出" sheetId="2" state="visible" r:id="rId2"/>
    <sheet xmlns:r="http://schemas.openxmlformats.org/officeDocument/2006/relationships" name="03_CBAM输出" sheetId="3" state="visible" r:id="rId3"/>
    <sheet xmlns:r="http://schemas.openxmlformats.org/officeDocument/2006/relationships" name="04_字段映射过程" sheetId="4" state="visible" r:id="rId4"/>
    <sheet xmlns:r="http://schemas.openxmlformats.org/officeDocument/2006/relationships" name="05_证据映射过程" sheetId="5" state="visible" r:id="rId5"/>
    <sheet xmlns:r="http://schemas.openxmlformats.org/officeDocument/2006/relationships" name="06_核验映射过程" sheetId="6" state="visible" r:id="rId6"/>
    <sheet xmlns:r="http://schemas.openxmlformats.org/officeDocument/2006/relationships" name="07_权限映射过程" sheetId="7" state="visible" r:id="rId7"/>
    <sheet xmlns:r="http://schemas.openxmlformats.org/officeDocument/2006/relationships" name="08_生命周期计算过程" sheetId="8" state="visible" r:id="rId8"/>
    <sheet xmlns:r="http://schemas.openxmlformats.org/officeDocument/2006/relationships" name="09_EU中间表" sheetId="9" state="visible" r:id="rId9"/>
    <sheet xmlns:r="http://schemas.openxmlformats.org/officeDocument/2006/relationships" name="10_CBAM中间表" sheetId="10" state="visible" r:id="rId10"/>
    <sheet xmlns:r="http://schemas.openxmlformats.org/officeDocument/2006/relationships" name="11_CATL公开披露架构" sheetId="11" state="visible" r:id="rId11"/>
    <sheet xmlns:r="http://schemas.openxmlformats.org/officeDocument/2006/relationships" name="12_字段字典" sheetId="12" state="visible" r:id="rId12"/>
    <sheet xmlns:r="http://schemas.openxmlformats.org/officeDocument/2006/relationships" name="13_证据台账" sheetId="13" state="visible" r:id="rId13"/>
    <sheet xmlns:r="http://schemas.openxmlformats.org/officeDocument/2006/relationships" name="14_校验规则" sheetId="14" state="visible" r:id="rId14"/>
    <sheet xmlns:r="http://schemas.openxmlformats.org/officeDocument/2006/relationships" name="15_字段缺口与优先级" sheetId="15" state="visible" r:id="rId15"/>
    <sheet xmlns:r="http://schemas.openxmlformats.org/officeDocument/2006/relationships" name="16_假设与限制" sheetId="16" state="visible" r:id="rId16"/>
    <sheet xmlns:r="http://schemas.openxmlformats.org/officeDocument/2006/relationships" name="17_责任链与版本" sheetId="17" state="visible" r:id="rId17"/>
    <sheet xmlns:r="http://schemas.openxmlformats.org/officeDocument/2006/relationships" name="18_前端导出视图" sheetId="18" state="visible" r:id="rId18"/>
    <sheet xmlns:r="http://schemas.openxmlformats.org/officeDocument/2006/relationships" name="00_项目总览" sheetId="19" state="visible" r:id="rId19"/>
  </sheets>
  <definedNames>
    <definedName name="_xlnm._FilterDatabase" localSheetId="0" hidden="1">'01_手动输入'!$A$3:$T$89</definedName>
    <definedName name="_xlnm._FilterDatabase" localSheetId="1" hidden="1">'02_欧盟电池法输出'!$A$3:$H$34</definedName>
    <definedName name="_xlnm._FilterDatabase" localSheetId="2" hidden="1">'03_CBAM输出'!$A$3:$H$23</definedName>
    <definedName name="_xlnm._FilterDatabase" localSheetId="3" hidden="1">'04_字段映射过程'!$A$3:$H$16</definedName>
    <definedName name="_xlnm._FilterDatabase" localSheetId="4" hidden="1">'05_证据映射过程'!$A$3:$E$54</definedName>
    <definedName name="_xlnm._FilterDatabase" localSheetId="5" hidden="1">'06_核验映射过程'!$A$3:$D$54</definedName>
    <definedName name="_xlnm._FilterDatabase" localSheetId="6" hidden="1">'07_权限映射过程'!$A$3:$D$54</definedName>
    <definedName name="_xlnm._FilterDatabase" localSheetId="7" hidden="1">'08_生命周期计算过程'!$A$3:$D$33</definedName>
    <definedName name="_xlnm._FilterDatabase" localSheetId="8" hidden="1">'09_EU中间表'!$A$3:$D$34</definedName>
    <definedName name="_xlnm._FilterDatabase" localSheetId="9" hidden="1">'10_CBAM中间表'!$A$3:$D$23</definedName>
    <definedName name="_xlnm._FilterDatabase" localSheetId="10" hidden="1">'11_CATL公开披露架构'!$A$3:$I$21</definedName>
    <definedName name="_xlnm._FilterDatabase" localSheetId="11" hidden="1">'12_字段字典'!$A$3:$O$89</definedName>
    <definedName name="_xlnm._FilterDatabase" localSheetId="12" hidden="1">'13_证据台账'!$A$3:$K$21</definedName>
    <definedName name="_xlnm._FilterDatabase" localSheetId="13" hidden="1">'14_校验规则'!$A$3:$H$18</definedName>
    <definedName name="_xlnm._FilterDatabase" localSheetId="14" hidden="1">'15_字段缺口与优先级'!$A$3:$I$15</definedName>
    <definedName name="_xlnm._FilterDatabase" localSheetId="15" hidden="1">'16_假设与限制'!$A$3:$F$13</definedName>
    <definedName name="_xlnm._FilterDatabase" localSheetId="17" hidden="1">'18_前端导出视图'!$A$3:$K$54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宋体"/>
      <family val="2"/>
      <color theme="1"/>
      <sz val="11"/>
      <scheme val="minor"/>
    </font>
    <font>
      <name val="宋体"/>
      <charset val="134"/>
      <family val="3"/>
      <b val="1"/>
      <color rgb="FFFFFFFF"/>
      <sz val="13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rgb="FFFFFFFF"/>
      <sz val="16"/>
    </font>
    <font>
      <name val="宋体"/>
      <charset val="134"/>
      <family val="3"/>
      <color rgb="FF000000"/>
      <sz val="11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b val="1"/>
      <color rgb="FFFFFFFF"/>
      <sz val="13"/>
    </font>
    <font>
      <name val="宋体"/>
      <charset val="134"/>
      <family val="3"/>
      <b val="1"/>
      <color rgb="FFFFFFFF"/>
      <sz val="14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b val="1"/>
      <color rgb="FFFFFFFF"/>
      <sz val="15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3F3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6" fillId="5" borderId="4" applyAlignment="1" pivotButton="0" quotePrefix="0" xfId="0">
      <alignment horizontal="center" vertical="center"/>
    </xf>
    <xf numFmtId="0" fontId="5" fillId="0" borderId="4" applyAlignment="1" pivotButton="0" quotePrefix="0" xfId="0">
      <alignment vertical="top" wrapText="1"/>
    </xf>
    <xf numFmtId="0" fontId="5" fillId="7" borderId="4" applyAlignment="1" pivotButton="0" quotePrefix="0" xfId="0">
      <alignment vertical="top" wrapText="1"/>
    </xf>
    <xf numFmtId="0" fontId="10" fillId="5" borderId="0" pivotButton="0" quotePrefix="0" xfId="0"/>
    <xf numFmtId="0" fontId="0" fillId="6" borderId="0" pivotButton="0" quotePrefix="0" xfId="0"/>
    <xf numFmtId="0" fontId="9" fillId="5" borderId="1" applyAlignment="1" pivotButton="0" quotePrefix="0" xfId="0">
      <alignment horizontal="center" vertical="center"/>
    </xf>
    <xf numFmtId="0" fontId="9" fillId="5" borderId="4" applyAlignment="1" pivotButton="0" quotePrefix="0" xfId="0">
      <alignment horizontal="center" vertical="center"/>
    </xf>
    <xf numFmtId="0" fontId="0" fillId="9" borderId="1" applyAlignment="1" applyProtection="1" pivotButton="0" quotePrefix="0" xfId="0">
      <alignment vertical="top" wrapText="1"/>
      <protection locked="0" hidden="0"/>
    </xf>
    <xf numFmtId="0" fontId="0" fillId="0" borderId="4" applyAlignment="1" pivotButton="0" quotePrefix="0" xfId="0">
      <alignment vertical="top" wrapText="1"/>
    </xf>
    <xf numFmtId="0" fontId="0" fillId="9" borderId="0" pivotButton="0" quotePrefix="0" xfId="0"/>
    <xf numFmtId="2" fontId="0" fillId="9" borderId="1" applyAlignment="1" applyProtection="1" pivotButton="0" quotePrefix="0" xfId="0">
      <alignment vertical="top" wrapText="1"/>
      <protection locked="0" hidden="0"/>
    </xf>
    <xf numFmtId="164" fontId="0" fillId="9" borderId="1" applyAlignment="1" applyProtection="1" pivotButton="0" quotePrefix="0" xfId="0">
      <alignment vertical="top" wrapText="1"/>
      <protection locked="0" hidden="0"/>
    </xf>
    <xf numFmtId="0" fontId="5" fillId="8" borderId="4" applyAlignment="1" pivotButton="0" quotePrefix="0" xfId="0">
      <alignment vertical="top" wrapText="1"/>
    </xf>
    <xf numFmtId="0" fontId="7" fillId="5" borderId="4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5" fillId="6" borderId="4" applyAlignment="1" pivotButton="0" quotePrefix="0" xfId="0">
      <alignment vertical="top" wrapText="1"/>
    </xf>
    <xf numFmtId="0" fontId="4" fillId="5" borderId="4" applyAlignment="1" pivotButton="0" quotePrefix="0" xfId="0">
      <alignment vertical="top" wrapText="1"/>
    </xf>
    <xf numFmtId="0" fontId="10" fillId="5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6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8" fillId="5" borderId="4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0" fillId="9" borderId="1" applyAlignment="1" applyProtection="1" pivotButton="0" quotePrefix="0" xfId="0">
      <alignment vertical="top" wrapText="1"/>
      <protection locked="0" hidden="0"/>
    </xf>
    <xf numFmtId="164" fontId="0" fillId="4" borderId="1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4" customWidth="1" style="30" min="1" max="1"/>
    <col width="24" customWidth="1" style="30" min="2" max="2"/>
    <col width="20" customWidth="1" style="30" min="3" max="4"/>
    <col width="12" customWidth="1" style="30" min="5" max="5"/>
    <col width="18" customWidth="1" style="30" min="6" max="6"/>
    <col width="16" customWidth="1" style="30" min="7" max="7"/>
    <col width="26" customWidth="1" style="30" min="8" max="8"/>
    <col width="24" customWidth="1" style="30" min="9" max="9"/>
    <col width="14" customWidth="1" style="30" min="10" max="10"/>
    <col width="16" customWidth="1" style="30" min="11" max="11"/>
    <col width="10" customWidth="1" style="30" min="12" max="12"/>
    <col width="18" customWidth="1" style="30" min="13" max="14"/>
    <col width="16" customWidth="1" style="30" min="15" max="15"/>
    <col width="14" customWidth="1" style="30" min="16" max="16"/>
    <col width="12" customWidth="1" style="30" min="17" max="17"/>
    <col width="18" customWidth="1" style="30" min="18" max="19"/>
    <col width="26" customWidth="1" style="30" min="20" max="20"/>
  </cols>
  <sheetData>
    <row r="1" ht="19.15" customHeight="1" s="30">
      <c r="A1" s="26" t="inlineStr">
        <is>
          <t>CATL 四层映射引擎 通用模板 - 手动输入总表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8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</row>
    <row r="2">
      <c r="A2" s="29" t="inlineStr">
        <is>
          <t>说明：只有本 Sheet 允许手动修改。黄色列是实际输入值，模板默认填入通用示例值，后面所有 Sheet 都由公式自动拉取与计算。</t>
        </is>
      </c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</row>
    <row r="3">
      <c r="A3" s="13" t="inlineStr">
        <is>
          <t>类别</t>
        </is>
      </c>
      <c r="B3" s="13" t="inlineStr">
        <is>
          <t>字段代码</t>
        </is>
      </c>
      <c r="C3" s="13" t="inlineStr">
        <is>
          <t>手动输入项（中文）</t>
        </is>
      </c>
      <c r="D3" s="13" t="inlineStr">
        <is>
          <t>英文对应</t>
        </is>
      </c>
      <c r="E3" s="13" t="inlineStr">
        <is>
          <t>单位</t>
        </is>
      </c>
      <c r="F3" s="13" t="inlineStr">
        <is>
          <t>示例值</t>
        </is>
      </c>
      <c r="G3" s="13" t="inlineStr">
        <is>
          <t>实际输入值</t>
        </is>
      </c>
      <c r="H3" s="13" t="inlineStr">
        <is>
          <t>说明</t>
        </is>
      </c>
      <c r="I3" s="13" t="inlineStr">
        <is>
          <t>常见证据</t>
        </is>
      </c>
      <c r="J3" s="13" t="inlineStr">
        <is>
          <t>主要影响输出</t>
        </is>
      </c>
      <c r="K3" s="14" t="inlineStr">
        <is>
          <t>字段数据类型</t>
        </is>
      </c>
      <c r="L3" s="14" t="inlineStr">
        <is>
          <t>是否必填</t>
        </is>
      </c>
      <c r="M3" s="14" t="inlineStr">
        <is>
          <t>录入方式</t>
        </is>
      </c>
      <c r="N3" s="14" t="inlineStr">
        <is>
          <t>建议来源系统</t>
        </is>
      </c>
      <c r="O3" s="14" t="inlineStr">
        <is>
          <t>字段责任人</t>
        </is>
      </c>
      <c r="P3" s="14" t="inlineStr">
        <is>
          <t>保密等级</t>
        </is>
      </c>
      <c r="Q3" s="14" t="inlineStr">
        <is>
          <t>校验规则ID</t>
        </is>
      </c>
      <c r="R3" s="14" t="inlineStr">
        <is>
          <t>缺口状态</t>
        </is>
      </c>
      <c r="S3" s="14" t="inlineStr">
        <is>
          <t>可直接复用CATL公开披露?</t>
        </is>
      </c>
      <c r="T3" s="14" t="inlineStr">
        <is>
          <t>下一步动作</t>
        </is>
      </c>
    </row>
    <row r="4">
      <c r="A4" s="2" t="inlineStr">
        <is>
          <t>A. 基本身份</t>
        </is>
      </c>
      <c r="B4" s="2" t="inlineStr">
        <is>
          <t>manufacturer_name</t>
        </is>
      </c>
      <c r="C4" s="2" t="inlineStr">
        <is>
          <t>制造商名称</t>
        </is>
      </c>
      <c r="D4" s="2" t="inlineStr">
        <is>
          <t>manufacturer name</t>
        </is>
      </c>
      <c r="E4" s="2" t="inlineStr">
        <is>
          <t>文本</t>
        </is>
      </c>
      <c r="F4" s="2" t="inlineStr">
        <is>
          <t>CATL</t>
        </is>
      </c>
      <c r="G4" s="15" t="inlineStr">
        <is>
          <t>CATL</t>
        </is>
      </c>
      <c r="H4" s="2" t="inlineStr">
        <is>
          <t>公司主体识别字段</t>
        </is>
      </c>
      <c r="I4" s="2" t="inlineStr">
        <is>
          <t>营业执照/年报</t>
        </is>
      </c>
      <c r="J4" s="2" t="inlineStr">
        <is>
          <t>EU+CBAM</t>
        </is>
      </c>
      <c r="K4" s="16">
        <f>IFERROR(INDEX('12_字段字典'!$D:$D,MATCH($B4,'12_字段字典'!$B:$B,0)),"")</f>
        <v/>
      </c>
      <c r="L4" s="16">
        <f>IFERROR(INDEX('12_字段字典'!$E:$E,MATCH($B4,'12_字段字典'!$B:$B,0)),"")</f>
        <v/>
      </c>
      <c r="M4" s="16">
        <f>IFERROR(INDEX('12_字段字典'!$F:$F,MATCH($B4,'12_字段字典'!$B:$B,0)),"")</f>
        <v/>
      </c>
      <c r="N4" s="16">
        <f>IFERROR(INDEX('12_字段字典'!$G:$G,MATCH($B4,'12_字段字典'!$B:$B,0)),"")</f>
        <v/>
      </c>
      <c r="O4" s="16">
        <f>IFERROR(INDEX('12_字段字典'!$H:$H,MATCH($B4,'12_字段字典'!$B:$B,0)),"")</f>
        <v/>
      </c>
      <c r="P4" s="16">
        <f>IFERROR(INDEX('12_字段字典'!$I:$I,MATCH($B4,'12_字段字典'!$B:$B,0)),"")</f>
        <v/>
      </c>
      <c r="Q4" s="16">
        <f>IFERROR(INDEX('12_字段字典'!$J:$J,MATCH($B4,'12_字段字典'!$B:$B,0)),"")</f>
        <v/>
      </c>
      <c r="R4" s="16">
        <f>IFERROR(INDEX('12_字段字典'!$K:$K,MATCH($B4,'12_字段字典'!$B:$B,0)),"")</f>
        <v/>
      </c>
      <c r="S4" s="16">
        <f>IFERROR(INDEX('12_字段字典'!$L:$L,MATCH($B4,'12_字段字典'!$B:$B,0)),"")</f>
        <v/>
      </c>
      <c r="T4" s="16">
        <f>IFERROR(INDEX('12_字段字典'!$M:$M,MATCH($B4,'12_字段字典'!$B:$B,0)),"")</f>
        <v/>
      </c>
    </row>
    <row r="5" ht="40.5" customHeight="1" s="30">
      <c r="A5" s="2" t="inlineStr">
        <is>
          <t>A. 基本身份</t>
        </is>
      </c>
      <c r="B5" s="2" t="inlineStr">
        <is>
          <t>product_name</t>
        </is>
      </c>
      <c r="C5" s="2" t="inlineStr">
        <is>
          <t>产品名称</t>
        </is>
      </c>
      <c r="D5" s="2" t="inlineStr">
        <is>
          <t>product name</t>
        </is>
      </c>
      <c r="E5" s="2" t="inlineStr">
        <is>
          <t>文本</t>
        </is>
      </c>
      <c r="F5" s="2" t="inlineStr">
        <is>
          <t>CATL 通用电池产品模板（Generic Example）</t>
        </is>
      </c>
      <c r="G5" s="15" t="inlineStr">
        <is>
          <t>CATL 通用电池产品模板（Generic Example）</t>
        </is>
      </c>
      <c r="H5" s="2" t="inlineStr">
        <is>
          <t>用于任意 CATL 电池产品的模板名称，而非固定神行案例</t>
        </is>
      </c>
      <c r="I5" s="2" t="inlineStr">
        <is>
          <t>产品主数据</t>
        </is>
      </c>
      <c r="J5" s="2" t="inlineStr">
        <is>
          <t>EU</t>
        </is>
      </c>
      <c r="K5" s="16">
        <f>IFERROR(INDEX('12_字段字典'!$D:$D,MATCH($B5,'12_字段字典'!$B:$B,0)),"")</f>
        <v/>
      </c>
      <c r="L5" s="16">
        <f>IFERROR(INDEX('12_字段字典'!$E:$E,MATCH($B5,'12_字段字典'!$B:$B,0)),"")</f>
        <v/>
      </c>
      <c r="M5" s="16">
        <f>IFERROR(INDEX('12_字段字典'!$F:$F,MATCH($B5,'12_字段字典'!$B:$B,0)),"")</f>
        <v/>
      </c>
      <c r="N5" s="16">
        <f>IFERROR(INDEX('12_字段字典'!$G:$G,MATCH($B5,'12_字段字典'!$B:$B,0)),"")</f>
        <v/>
      </c>
      <c r="O5" s="16">
        <f>IFERROR(INDEX('12_字段字典'!$H:$H,MATCH($B5,'12_字段字典'!$B:$B,0)),"")</f>
        <v/>
      </c>
      <c r="P5" s="16">
        <f>IFERROR(INDEX('12_字段字典'!$I:$I,MATCH($B5,'12_字段字典'!$B:$B,0)),"")</f>
        <v/>
      </c>
      <c r="Q5" s="16">
        <f>IFERROR(INDEX('12_字段字典'!$J:$J,MATCH($B5,'12_字段字典'!$B:$B,0)),"")</f>
        <v/>
      </c>
      <c r="R5" s="16">
        <f>IFERROR(INDEX('12_字段字典'!$K:$K,MATCH($B5,'12_字段字典'!$B:$B,0)),"")</f>
        <v/>
      </c>
      <c r="S5" s="16">
        <f>IFERROR(INDEX('12_字段字典'!$L:$L,MATCH($B5,'12_字段字典'!$B:$B,0)),"")</f>
        <v/>
      </c>
      <c r="T5" s="16">
        <f>IFERROR(INDEX('12_字段字典'!$M:$M,MATCH($B5,'12_字段字典'!$B:$B,0)),"")</f>
        <v/>
      </c>
    </row>
    <row r="6" ht="27" customHeight="1" s="30">
      <c r="A6" s="2" t="inlineStr">
        <is>
          <t>A. 基本身份</t>
        </is>
      </c>
      <c r="B6" s="2" t="inlineStr">
        <is>
          <t>model_code</t>
        </is>
      </c>
      <c r="C6" s="2" t="inlineStr">
        <is>
          <t>电池型号代码</t>
        </is>
      </c>
      <c r="D6" s="2" t="inlineStr">
        <is>
          <t>battery model identifier</t>
        </is>
      </c>
      <c r="E6" s="2" t="inlineStr">
        <is>
          <t>文本</t>
        </is>
      </c>
      <c r="F6" s="2" t="inlineStr">
        <is>
          <t>GENERIC-BATTERY-MODEL-001</t>
        </is>
      </c>
      <c r="G6" s="15" t="inlineStr">
        <is>
          <t>GENERIC-BATTERY-MODEL-001</t>
        </is>
      </c>
      <c r="H6" s="2" t="inlineStr">
        <is>
          <t>通用模板的产品锚点，可替换为任意实际型号</t>
        </is>
      </c>
      <c r="I6" s="2" t="inlineStr">
        <is>
          <t>型号注册表</t>
        </is>
      </c>
      <c r="J6" s="2" t="inlineStr">
        <is>
          <t>EU+CBAM</t>
        </is>
      </c>
      <c r="K6" s="16">
        <f>IFERROR(INDEX('12_字段字典'!$D:$D,MATCH($B6,'12_字段字典'!$B:$B,0)),"")</f>
        <v/>
      </c>
      <c r="L6" s="16">
        <f>IFERROR(INDEX('12_字段字典'!$E:$E,MATCH($B6,'12_字段字典'!$B:$B,0)),"")</f>
        <v/>
      </c>
      <c r="M6" s="16">
        <f>IFERROR(INDEX('12_字段字典'!$F:$F,MATCH($B6,'12_字段字典'!$B:$B,0)),"")</f>
        <v/>
      </c>
      <c r="N6" s="16">
        <f>IFERROR(INDEX('12_字段字典'!$G:$G,MATCH($B6,'12_字段字典'!$B:$B,0)),"")</f>
        <v/>
      </c>
      <c r="O6" s="16">
        <f>IFERROR(INDEX('12_字段字典'!$H:$H,MATCH($B6,'12_字段字典'!$B:$B,0)),"")</f>
        <v/>
      </c>
      <c r="P6" s="16">
        <f>IFERROR(INDEX('12_字段字典'!$I:$I,MATCH($B6,'12_字段字典'!$B:$B,0)),"")</f>
        <v/>
      </c>
      <c r="Q6" s="16">
        <f>IFERROR(INDEX('12_字段字典'!$J:$J,MATCH($B6,'12_字段字典'!$B:$B,0)),"")</f>
        <v/>
      </c>
      <c r="R6" s="16">
        <f>IFERROR(INDEX('12_字段字典'!$K:$K,MATCH($B6,'12_字段字典'!$B:$B,0)),"")</f>
        <v/>
      </c>
      <c r="S6" s="16">
        <f>IFERROR(INDEX('12_字段字典'!$L:$L,MATCH($B6,'12_字段字典'!$B:$B,0)),"")</f>
        <v/>
      </c>
      <c r="T6" s="16">
        <f>IFERROR(INDEX('12_字段字典'!$M:$M,MATCH($B6,'12_字段字典'!$B:$B,0)),"")</f>
        <v/>
      </c>
    </row>
    <row r="7" ht="54" customHeight="1" s="30">
      <c r="A7" s="2" t="inlineStr">
        <is>
          <t>A. 基本身份</t>
        </is>
      </c>
      <c r="B7" s="2" t="inlineStr">
        <is>
          <t>battery_category</t>
        </is>
      </c>
      <c r="C7" s="2" t="inlineStr">
        <is>
          <t>产品业务类别</t>
        </is>
      </c>
      <c r="D7" s="2" t="inlineStr">
        <is>
          <t>product business category</t>
        </is>
      </c>
      <c r="E7" s="2" t="inlineStr">
        <is>
          <t>文本</t>
        </is>
      </c>
      <c r="F7" s="2" t="inlineStr">
        <is>
          <t>EV battery / ESS battery / special application</t>
        </is>
      </c>
      <c r="G7" s="15" t="inlineStr">
        <is>
          <t>EV battery / ESS battery / special application</t>
        </is>
      </c>
      <c r="H7" s="2" t="inlineStr">
        <is>
          <t>这是业务和产品线分类；正式欧盟监管适用类别请看 regulatory_battery_class</t>
        </is>
      </c>
      <c r="I7" s="2" t="inlineStr">
        <is>
          <t>技术规格书</t>
        </is>
      </c>
      <c r="J7" s="2" t="inlineStr">
        <is>
          <t>EU</t>
        </is>
      </c>
      <c r="K7" s="16">
        <f>IFERROR(INDEX('12_字段字典'!$D:$D,MATCH($B7,'12_字段字典'!$B:$B,0)),"")</f>
        <v/>
      </c>
      <c r="L7" s="16">
        <f>IFERROR(INDEX('12_字段字典'!$E:$E,MATCH($B7,'12_字段字典'!$B:$B,0)),"")</f>
        <v/>
      </c>
      <c r="M7" s="16">
        <f>IFERROR(INDEX('12_字段字典'!$F:$F,MATCH($B7,'12_字段字典'!$B:$B,0)),"")</f>
        <v/>
      </c>
      <c r="N7" s="16">
        <f>IFERROR(INDEX('12_字段字典'!$G:$G,MATCH($B7,'12_字段字典'!$B:$B,0)),"")</f>
        <v/>
      </c>
      <c r="O7" s="16">
        <f>IFERROR(INDEX('12_字段字典'!$H:$H,MATCH($B7,'12_字段字典'!$B:$B,0)),"")</f>
        <v/>
      </c>
      <c r="P7" s="16">
        <f>IFERROR(INDEX('12_字段字典'!$I:$I,MATCH($B7,'12_字段字典'!$B:$B,0)),"")</f>
        <v/>
      </c>
      <c r="Q7" s="16">
        <f>IFERROR(INDEX('12_字段字典'!$J:$J,MATCH($B7,'12_字段字典'!$B:$B,0)),"")</f>
        <v/>
      </c>
      <c r="R7" s="16">
        <f>IFERROR(INDEX('12_字段字典'!$K:$K,MATCH($B7,'12_字段字典'!$B:$B,0)),"")</f>
        <v/>
      </c>
      <c r="S7" s="16">
        <f>IFERROR(INDEX('12_字段字典'!$L:$L,MATCH($B7,'12_字段字典'!$B:$B,0)),"")</f>
        <v/>
      </c>
      <c r="T7" s="16">
        <f>IFERROR(INDEX('12_字段字典'!$M:$M,MATCH($B7,'12_字段字典'!$B:$B,0)),"")</f>
        <v/>
      </c>
    </row>
    <row r="8" ht="27" customHeight="1" s="30">
      <c r="A8" s="2" t="inlineStr">
        <is>
          <t>A. 基本身份</t>
        </is>
      </c>
      <c r="B8" s="2" t="inlineStr">
        <is>
          <t>chemistry</t>
        </is>
      </c>
      <c r="C8" s="2" t="inlineStr">
        <is>
          <t>化学体系</t>
        </is>
      </c>
      <c r="D8" s="2" t="inlineStr">
        <is>
          <t>chemistry</t>
        </is>
      </c>
      <c r="E8" s="2" t="inlineStr">
        <is>
          <t>文本</t>
        </is>
      </c>
      <c r="F8" s="2" t="inlineStr">
        <is>
          <t>LFP / LMFP / NMC（模板示例）</t>
        </is>
      </c>
      <c r="G8" s="15" t="inlineStr">
        <is>
          <t>LFP / LMFP / NMC（模板示例）</t>
        </is>
      </c>
      <c r="H8" s="2" t="inlineStr">
        <is>
          <t>保留化学体系接口，但不绑定单一神行配方</t>
        </is>
      </c>
      <c r="I8" s="2" t="inlineStr">
        <is>
          <t>BOM/规格书</t>
        </is>
      </c>
      <c r="J8" s="2" t="inlineStr">
        <is>
          <t>EU+CBAM</t>
        </is>
      </c>
      <c r="K8" s="16">
        <f>IFERROR(INDEX('12_字段字典'!$D:$D,MATCH($B8,'12_字段字典'!$B:$B,0)),"")</f>
        <v/>
      </c>
      <c r="L8" s="16">
        <f>IFERROR(INDEX('12_字段字典'!$E:$E,MATCH($B8,'12_字段字典'!$B:$B,0)),"")</f>
        <v/>
      </c>
      <c r="M8" s="16">
        <f>IFERROR(INDEX('12_字段字典'!$F:$F,MATCH($B8,'12_字段字典'!$B:$B,0)),"")</f>
        <v/>
      </c>
      <c r="N8" s="16">
        <f>IFERROR(INDEX('12_字段字典'!$G:$G,MATCH($B8,'12_字段字典'!$B:$B,0)),"")</f>
        <v/>
      </c>
      <c r="O8" s="16">
        <f>IFERROR(INDEX('12_字段字典'!$H:$H,MATCH($B8,'12_字段字典'!$B:$B,0)),"")</f>
        <v/>
      </c>
      <c r="P8" s="16">
        <f>IFERROR(INDEX('12_字段字典'!$I:$I,MATCH($B8,'12_字段字典'!$B:$B,0)),"")</f>
        <v/>
      </c>
      <c r="Q8" s="16">
        <f>IFERROR(INDEX('12_字段字典'!$J:$J,MATCH($B8,'12_字段字典'!$B:$B,0)),"")</f>
        <v/>
      </c>
      <c r="R8" s="16">
        <f>IFERROR(INDEX('12_字段字典'!$K:$K,MATCH($B8,'12_字段字典'!$B:$B,0)),"")</f>
        <v/>
      </c>
      <c r="S8" s="16">
        <f>IFERROR(INDEX('12_字段字典'!$L:$L,MATCH($B8,'12_字段字典'!$B:$B,0)),"")</f>
        <v/>
      </c>
      <c r="T8" s="16">
        <f>IFERROR(INDEX('12_字段字典'!$M:$M,MATCH($B8,'12_字段字典'!$B:$B,0)),"")</f>
        <v/>
      </c>
    </row>
    <row r="9" ht="27" customHeight="1" s="30">
      <c r="A9" s="2" t="inlineStr">
        <is>
          <t>A. 基本身份</t>
        </is>
      </c>
      <c r="B9" s="2" t="inlineStr">
        <is>
          <t>plant_code</t>
        </is>
      </c>
      <c r="C9" s="2" t="inlineStr">
        <is>
          <t>制造工厂代码</t>
        </is>
      </c>
      <c r="D9" s="2" t="inlineStr">
        <is>
          <t>plant code</t>
        </is>
      </c>
      <c r="E9" s="2" t="inlineStr">
        <is>
          <t>文本</t>
        </is>
      </c>
      <c r="F9" s="2" t="inlineStr">
        <is>
          <t>CN-PLANT-TEMPLATE-001</t>
        </is>
      </c>
      <c r="G9" s="15" t="inlineStr">
        <is>
          <t>CN-PLANT-TEMPLATE-001</t>
        </is>
      </c>
      <c r="H9" s="2" t="inlineStr">
        <is>
          <t>主要制造工厂代码；若产品还涉及单独总成装配地点，请同时填写 assembly_site_* 字段</t>
        </is>
      </c>
      <c r="I9" s="2" t="inlineStr">
        <is>
          <t>工厂注册表</t>
        </is>
      </c>
      <c r="J9" s="2" t="inlineStr">
        <is>
          <t>EU+CBAM</t>
        </is>
      </c>
      <c r="K9" s="16">
        <f>IFERROR(INDEX('12_字段字典'!$D:$D,MATCH($B9,'12_字段字典'!$B:$B,0)),"")</f>
        <v/>
      </c>
      <c r="L9" s="16">
        <f>IFERROR(INDEX('12_字段字典'!$E:$E,MATCH($B9,'12_字段字典'!$B:$B,0)),"")</f>
        <v/>
      </c>
      <c r="M9" s="16">
        <f>IFERROR(INDEX('12_字段字典'!$F:$F,MATCH($B9,'12_字段字典'!$B:$B,0)),"")</f>
        <v/>
      </c>
      <c r="N9" s="16">
        <f>IFERROR(INDEX('12_字段字典'!$G:$G,MATCH($B9,'12_字段字典'!$B:$B,0)),"")</f>
        <v/>
      </c>
      <c r="O9" s="16">
        <f>IFERROR(INDEX('12_字段字典'!$H:$H,MATCH($B9,'12_字段字典'!$B:$B,0)),"")</f>
        <v/>
      </c>
      <c r="P9" s="16">
        <f>IFERROR(INDEX('12_字段字典'!$I:$I,MATCH($B9,'12_字段字典'!$B:$B,0)),"")</f>
        <v/>
      </c>
      <c r="Q9" s="16">
        <f>IFERROR(INDEX('12_字段字典'!$J:$J,MATCH($B9,'12_字段字典'!$B:$B,0)),"")</f>
        <v/>
      </c>
      <c r="R9" s="16">
        <f>IFERROR(INDEX('12_字段字典'!$K:$K,MATCH($B9,'12_字段字典'!$B:$B,0)),"")</f>
        <v/>
      </c>
      <c r="S9" s="16">
        <f>IFERROR(INDEX('12_字段字典'!$L:$L,MATCH($B9,'12_字段字典'!$B:$B,0)),"")</f>
        <v/>
      </c>
      <c r="T9" s="16">
        <f>IFERROR(INDEX('12_字段字典'!$M:$M,MATCH($B9,'12_字段字典'!$B:$B,0)),"")</f>
        <v/>
      </c>
    </row>
    <row r="10" ht="27" customHeight="1" s="30">
      <c r="A10" s="2" t="inlineStr">
        <is>
          <t>A. 基本身份</t>
        </is>
      </c>
      <c r="B10" s="2" t="inlineStr">
        <is>
          <t>plant_name</t>
        </is>
      </c>
      <c r="C10" s="2" t="inlineStr">
        <is>
          <t>制造工厂名称</t>
        </is>
      </c>
      <c r="D10" s="2" t="inlineStr">
        <is>
          <t>plant name</t>
        </is>
      </c>
      <c r="E10" s="2" t="inlineStr">
        <is>
          <t>文本</t>
        </is>
      </c>
      <c r="F10" s="2" t="inlineStr">
        <is>
          <t>某制造工厂（模板）</t>
        </is>
      </c>
      <c r="G10" s="15" t="inlineStr">
        <is>
          <t>某制造工厂（模板）</t>
        </is>
      </c>
      <c r="H10" s="2" t="inlineStr">
        <is>
          <t>主要制造工厂名称；用于绑定主申报工厂</t>
        </is>
      </c>
      <c r="I10" s="2" t="inlineStr">
        <is>
          <t>工厂主数据</t>
        </is>
      </c>
      <c r="J10" s="2" t="inlineStr">
        <is>
          <t>EU</t>
        </is>
      </c>
      <c r="K10" s="16">
        <f>IFERROR(INDEX('12_字段字典'!$D:$D,MATCH($B10,'12_字段字典'!$B:$B,0)),"")</f>
        <v/>
      </c>
      <c r="L10" s="16">
        <f>IFERROR(INDEX('12_字段字典'!$E:$E,MATCH($B10,'12_字段字典'!$B:$B,0)),"")</f>
        <v/>
      </c>
      <c r="M10" s="16">
        <f>IFERROR(INDEX('12_字段字典'!$F:$F,MATCH($B10,'12_字段字典'!$B:$B,0)),"")</f>
        <v/>
      </c>
      <c r="N10" s="16">
        <f>IFERROR(INDEX('12_字段字典'!$G:$G,MATCH($B10,'12_字段字典'!$B:$B,0)),"")</f>
        <v/>
      </c>
      <c r="O10" s="16">
        <f>IFERROR(INDEX('12_字段字典'!$H:$H,MATCH($B10,'12_字段字典'!$B:$B,0)),"")</f>
        <v/>
      </c>
      <c r="P10" s="16">
        <f>IFERROR(INDEX('12_字段字典'!$I:$I,MATCH($B10,'12_字段字典'!$B:$B,0)),"")</f>
        <v/>
      </c>
      <c r="Q10" s="16">
        <f>IFERROR(INDEX('12_字段字典'!$J:$J,MATCH($B10,'12_字段字典'!$B:$B,0)),"")</f>
        <v/>
      </c>
      <c r="R10" s="16">
        <f>IFERROR(INDEX('12_字段字典'!$K:$K,MATCH($B10,'12_字段字典'!$B:$B,0)),"")</f>
        <v/>
      </c>
      <c r="S10" s="16">
        <f>IFERROR(INDEX('12_字段字典'!$L:$L,MATCH($B10,'12_字段字典'!$B:$B,0)),"")</f>
        <v/>
      </c>
      <c r="T10" s="16">
        <f>IFERROR(INDEX('12_字段字典'!$M:$M,MATCH($B10,'12_字段字典'!$B:$B,0)),"")</f>
        <v/>
      </c>
    </row>
    <row r="11" ht="27" customHeight="1" s="30">
      <c r="A11" s="2" t="inlineStr">
        <is>
          <t>A. 基本身份</t>
        </is>
      </c>
      <c r="B11" s="2" t="inlineStr">
        <is>
          <t>reporting_period</t>
        </is>
      </c>
      <c r="C11" s="2" t="inlineStr">
        <is>
          <t>产品报告期</t>
        </is>
      </c>
      <c r="D11" s="2" t="inlineStr">
        <is>
          <t>reporting period</t>
        </is>
      </c>
      <c r="E11" s="2" t="inlineStr">
        <is>
          <t>文本</t>
        </is>
      </c>
      <c r="F11" s="2" t="inlineStr">
        <is>
          <t>2026Q1</t>
        </is>
      </c>
      <c r="G11" s="15" t="inlineStr">
        <is>
          <t>2026Q1</t>
        </is>
      </c>
      <c r="H11" s="2" t="inlineStr">
        <is>
          <t>模板示例周期，实际应用时按产品与工厂报告期填写</t>
        </is>
      </c>
      <c r="I11" s="2" t="inlineStr">
        <is>
          <t>排产记录</t>
        </is>
      </c>
      <c r="J11" s="2" t="inlineStr">
        <is>
          <t>EU+CBAM</t>
        </is>
      </c>
      <c r="K11" s="16">
        <f>IFERROR(INDEX('12_字段字典'!$D:$D,MATCH($B11,'12_字段字典'!$B:$B,0)),"")</f>
        <v/>
      </c>
      <c r="L11" s="16">
        <f>IFERROR(INDEX('12_字段字典'!$E:$E,MATCH($B11,'12_字段字典'!$B:$B,0)),"")</f>
        <v/>
      </c>
      <c r="M11" s="16">
        <f>IFERROR(INDEX('12_字段字典'!$F:$F,MATCH($B11,'12_字段字典'!$B:$B,0)),"")</f>
        <v/>
      </c>
      <c r="N11" s="16">
        <f>IFERROR(INDEX('12_字段字典'!$G:$G,MATCH($B11,'12_字段字典'!$B:$B,0)),"")</f>
        <v/>
      </c>
      <c r="O11" s="16">
        <f>IFERROR(INDEX('12_字段字典'!$H:$H,MATCH($B11,'12_字段字典'!$B:$B,0)),"")</f>
        <v/>
      </c>
      <c r="P11" s="16">
        <f>IFERROR(INDEX('12_字段字典'!$I:$I,MATCH($B11,'12_字段字典'!$B:$B,0)),"")</f>
        <v/>
      </c>
      <c r="Q11" s="16">
        <f>IFERROR(INDEX('12_字段字典'!$J:$J,MATCH($B11,'12_字段字典'!$B:$B,0)),"")</f>
        <v/>
      </c>
      <c r="R11" s="16">
        <f>IFERROR(INDEX('12_字段字典'!$K:$K,MATCH($B11,'12_字段字典'!$B:$B,0)),"")</f>
        <v/>
      </c>
      <c r="S11" s="16">
        <f>IFERROR(INDEX('12_字段字典'!$L:$L,MATCH($B11,'12_字段字典'!$B:$B,0)),"")</f>
        <v/>
      </c>
      <c r="T11" s="16">
        <f>IFERROR(INDEX('12_字段字典'!$M:$M,MATCH($B11,'12_字段字典'!$B:$B,0)),"")</f>
        <v/>
      </c>
    </row>
    <row r="12">
      <c r="A12" t="inlineStr">
        <is>
          <t>A. 基本身份</t>
        </is>
      </c>
      <c r="B12" t="inlineStr">
        <is>
          <t>regulatory_battery_class</t>
        </is>
      </c>
      <c r="C12" t="inlineStr">
        <is>
          <t>监管适用类别</t>
        </is>
      </c>
      <c r="D12" t="inlineStr">
        <is>
          <t>regulatory battery class</t>
        </is>
      </c>
      <c r="E12" t="inlineStr">
        <is>
          <t>文本</t>
        </is>
      </c>
      <c r="F12" t="inlineStr">
        <is>
          <t>EV battery / rechargeable industrial battery</t>
        </is>
      </c>
      <c r="G12" s="17" t="inlineStr">
        <is>
          <t>EV battery / rechargeable industrial battery</t>
        </is>
      </c>
      <c r="H12" t="inlineStr">
        <is>
          <t>区分业务产品类别与欧盟监管适用类别，避免两者混在一起</t>
        </is>
      </c>
      <c r="I12" t="inlineStr">
        <is>
          <t>法规适用性说明/认证范围</t>
        </is>
      </c>
      <c r="J12" t="inlineStr">
        <is>
          <t>EU</t>
        </is>
      </c>
      <c r="K12" s="16">
        <f>IFERROR(INDEX('12_字段字典'!$D:$D,MATCH($B12,'12_字段字典'!$B:$B,0)),"")</f>
        <v/>
      </c>
      <c r="L12" s="16">
        <f>IFERROR(INDEX('12_字段字典'!$E:$E,MATCH($B12,'12_字段字典'!$B:$B,0)),"")</f>
        <v/>
      </c>
      <c r="M12" s="16">
        <f>IFERROR(INDEX('12_字段字典'!$F:$F,MATCH($B12,'12_字段字典'!$B:$B,0)),"")</f>
        <v/>
      </c>
      <c r="N12" s="16">
        <f>IFERROR(INDEX('12_字段字典'!$G:$G,MATCH($B12,'12_字段字典'!$B:$B,0)),"")</f>
        <v/>
      </c>
      <c r="O12" s="16">
        <f>IFERROR(INDEX('12_字段字典'!$H:$H,MATCH($B12,'12_字段字典'!$B:$B,0)),"")</f>
        <v/>
      </c>
      <c r="P12" s="16">
        <f>IFERROR(INDEX('12_字段字典'!$I:$I,MATCH($B12,'12_字段字典'!$B:$B,0)),"")</f>
        <v/>
      </c>
      <c r="Q12" s="16">
        <f>IFERROR(INDEX('12_字段字典'!$J:$J,MATCH($B12,'12_字段字典'!$B:$B,0)),"")</f>
        <v/>
      </c>
      <c r="R12" s="16">
        <f>IFERROR(INDEX('12_字段字典'!$K:$K,MATCH($B12,'12_字段字典'!$B:$B,0)),"")</f>
        <v/>
      </c>
      <c r="S12" s="16">
        <f>IFERROR(INDEX('12_字段字典'!$L:$L,MATCH($B12,'12_字段字典'!$B:$B,0)),"")</f>
        <v/>
      </c>
      <c r="T12" s="16">
        <f>IFERROR(INDEX('12_字段字典'!$M:$M,MATCH($B12,'12_字段字典'!$B:$B,0)),"")</f>
        <v/>
      </c>
    </row>
    <row r="13">
      <c r="A13" t="inlineStr">
        <is>
          <t>A. 基本身份</t>
        </is>
      </c>
      <c r="B13" t="inlineStr">
        <is>
          <t>declared_boundary_note</t>
        </is>
      </c>
      <c r="C13" t="inlineStr">
        <is>
          <t>申报边界说明</t>
        </is>
      </c>
      <c r="D13" t="inlineStr">
        <is>
          <t>declared boundary note</t>
        </is>
      </c>
      <c r="E13" t="inlineStr">
        <is>
          <t>文本</t>
        </is>
      </c>
      <c r="F13" t="inlineStr">
        <is>
          <t>includes cell + module + pack housing + BMS + cooling within declared unit</t>
        </is>
      </c>
      <c r="G13" s="17" t="inlineStr">
        <is>
          <t>includes cell + module + pack housing + BMS + cooling within declared unit</t>
        </is>
      </c>
      <c r="H13" t="inlineStr">
        <is>
          <t>明确申报单元到底包含哪些部件，是通用模板非常关键的边界字段</t>
        </is>
      </c>
      <c r="I13" t="inlineStr">
        <is>
          <t>方法学说明/BOM 边界定义</t>
        </is>
      </c>
      <c r="J13" t="inlineStr">
        <is>
          <t>EU+CBAM</t>
        </is>
      </c>
      <c r="K13" s="16">
        <f>IFERROR(INDEX('12_字段字典'!$D:$D,MATCH($B13,'12_字段字典'!$B:$B,0)),"")</f>
        <v/>
      </c>
      <c r="L13" s="16">
        <f>IFERROR(INDEX('12_字段字典'!$E:$E,MATCH($B13,'12_字段字典'!$B:$B,0)),"")</f>
        <v/>
      </c>
      <c r="M13" s="16">
        <f>IFERROR(INDEX('12_字段字典'!$F:$F,MATCH($B13,'12_字段字典'!$B:$B,0)),"")</f>
        <v/>
      </c>
      <c r="N13" s="16">
        <f>IFERROR(INDEX('12_字段字典'!$G:$G,MATCH($B13,'12_字段字典'!$B:$B,0)),"")</f>
        <v/>
      </c>
      <c r="O13" s="16">
        <f>IFERROR(INDEX('12_字段字典'!$H:$H,MATCH($B13,'12_字段字典'!$B:$B,0)),"")</f>
        <v/>
      </c>
      <c r="P13" s="16">
        <f>IFERROR(INDEX('12_字段字典'!$I:$I,MATCH($B13,'12_字段字典'!$B:$B,0)),"")</f>
        <v/>
      </c>
      <c r="Q13" s="16">
        <f>IFERROR(INDEX('12_字段字典'!$J:$J,MATCH($B13,'12_字段字典'!$B:$B,0)),"")</f>
        <v/>
      </c>
      <c r="R13" s="16">
        <f>IFERROR(INDEX('12_字段字典'!$K:$K,MATCH($B13,'12_字段字典'!$B:$B,0)),"")</f>
        <v/>
      </c>
      <c r="S13" s="16">
        <f>IFERROR(INDEX('12_字段字典'!$L:$L,MATCH($B13,'12_字段字典'!$B:$B,0)),"")</f>
        <v/>
      </c>
      <c r="T13" s="16">
        <f>IFERROR(INDEX('12_字段字典'!$M:$M,MATCH($B13,'12_字段字典'!$B:$B,0)),"")</f>
        <v/>
      </c>
    </row>
    <row r="14">
      <c r="A14" t="inlineStr">
        <is>
          <t>A. 基本身份</t>
        </is>
      </c>
      <c r="B14" t="inlineStr">
        <is>
          <t>cell_count_per_unit</t>
        </is>
      </c>
      <c r="C14" t="inlineStr">
        <is>
          <t>申报单元电芯数量</t>
        </is>
      </c>
      <c r="D14" t="inlineStr">
        <is>
          <t>cell count per declared unit</t>
        </is>
      </c>
      <c r="E14" t="inlineStr">
        <is>
          <t>pcs/unit</t>
        </is>
      </c>
      <c r="F14" t="n">
        <v>120</v>
      </c>
      <c r="G14" s="17" t="n">
        <v>120</v>
      </c>
      <c r="H14" t="inlineStr">
        <is>
          <t>支持从 cell 到 module、pack、system 的结构展开</t>
        </is>
      </c>
      <c r="I14" t="inlineStr">
        <is>
          <t>BOM/结构清单</t>
        </is>
      </c>
      <c r="J14" t="inlineStr">
        <is>
          <t>EU+CBAM</t>
        </is>
      </c>
      <c r="K14" s="16">
        <f>IFERROR(INDEX('12_字段字典'!$D:$D,MATCH($B14,'12_字段字典'!$B:$B,0)),"")</f>
        <v/>
      </c>
      <c r="L14" s="16">
        <f>IFERROR(INDEX('12_字段字典'!$E:$E,MATCH($B14,'12_字段字典'!$B:$B,0)),"")</f>
        <v/>
      </c>
      <c r="M14" s="16">
        <f>IFERROR(INDEX('12_字段字典'!$F:$F,MATCH($B14,'12_字段字典'!$B:$B,0)),"")</f>
        <v/>
      </c>
      <c r="N14" s="16">
        <f>IFERROR(INDEX('12_字段字典'!$G:$G,MATCH($B14,'12_字段字典'!$B:$B,0)),"")</f>
        <v/>
      </c>
      <c r="O14" s="16">
        <f>IFERROR(INDEX('12_字段字典'!$H:$H,MATCH($B14,'12_字段字典'!$B:$B,0)),"")</f>
        <v/>
      </c>
      <c r="P14" s="16">
        <f>IFERROR(INDEX('12_字段字典'!$I:$I,MATCH($B14,'12_字段字典'!$B:$B,0)),"")</f>
        <v/>
      </c>
      <c r="Q14" s="16">
        <f>IFERROR(INDEX('12_字段字典'!$J:$J,MATCH($B14,'12_字段字典'!$B:$B,0)),"")</f>
        <v/>
      </c>
      <c r="R14" s="16">
        <f>IFERROR(INDEX('12_字段字典'!$K:$K,MATCH($B14,'12_字段字典'!$B:$B,0)),"")</f>
        <v/>
      </c>
      <c r="S14" s="16">
        <f>IFERROR(INDEX('12_字段字典'!$L:$L,MATCH($B14,'12_字段字典'!$B:$B,0)),"")</f>
        <v/>
      </c>
      <c r="T14" s="16">
        <f>IFERROR(INDEX('12_字段字典'!$M:$M,MATCH($B14,'12_字段字典'!$B:$B,0)),"")</f>
        <v/>
      </c>
    </row>
    <row r="15" ht="27" customHeight="1" s="30">
      <c r="A15" t="inlineStr">
        <is>
          <t>A. 基本身份</t>
        </is>
      </c>
      <c r="B15" t="inlineStr">
        <is>
          <t>module_count_per_unit</t>
        </is>
      </c>
      <c r="C15" t="inlineStr">
        <is>
          <t>申报单元模组数量</t>
        </is>
      </c>
      <c r="D15" t="inlineStr">
        <is>
          <t>module count per declared unit</t>
        </is>
      </c>
      <c r="E15" t="inlineStr">
        <is>
          <t>pcs/unit</t>
        </is>
      </c>
      <c r="F15" t="n">
        <v>12</v>
      </c>
      <c r="G15" s="17" t="n">
        <v>12</v>
      </c>
      <c r="H15" t="inlineStr">
        <is>
          <t>当申报对象是 pack 或 system 时，这个接口能避免模板只会按单层结构理解</t>
        </is>
      </c>
      <c r="I15" t="inlineStr">
        <is>
          <t>BOM/结构清单</t>
        </is>
      </c>
      <c r="J15" t="inlineStr">
        <is>
          <t>EU+CBAM</t>
        </is>
      </c>
      <c r="K15" s="16">
        <f>IFERROR(INDEX('12_字段字典'!$D:$D,MATCH($B15,'12_字段字典'!$B:$B,0)),"")</f>
        <v/>
      </c>
      <c r="L15" s="16">
        <f>IFERROR(INDEX('12_字段字典'!$E:$E,MATCH($B15,'12_字段字典'!$B:$B,0)),"")</f>
        <v/>
      </c>
      <c r="M15" s="16">
        <f>IFERROR(INDEX('12_字段字典'!$F:$F,MATCH($B15,'12_字段字典'!$B:$B,0)),"")</f>
        <v/>
      </c>
      <c r="N15" s="16">
        <f>IFERROR(INDEX('12_字段字典'!$G:$G,MATCH($B15,'12_字段字典'!$B:$B,0)),"")</f>
        <v/>
      </c>
      <c r="O15" s="16">
        <f>IFERROR(INDEX('12_字段字典'!$H:$H,MATCH($B15,'12_字段字典'!$B:$B,0)),"")</f>
        <v/>
      </c>
      <c r="P15" s="16">
        <f>IFERROR(INDEX('12_字段字典'!$I:$I,MATCH($B15,'12_字段字典'!$B:$B,0)),"")</f>
        <v/>
      </c>
      <c r="Q15" s="16">
        <f>IFERROR(INDEX('12_字段字典'!$J:$J,MATCH($B15,'12_字段字典'!$B:$B,0)),"")</f>
        <v/>
      </c>
      <c r="R15" s="16">
        <f>IFERROR(INDEX('12_字段字典'!$K:$K,MATCH($B15,'12_字段字典'!$B:$B,0)),"")</f>
        <v/>
      </c>
      <c r="S15" s="16">
        <f>IFERROR(INDEX('12_字段字典'!$L:$L,MATCH($B15,'12_字段字典'!$B:$B,0)),"")</f>
        <v/>
      </c>
      <c r="T15" s="16">
        <f>IFERROR(INDEX('12_字段字典'!$M:$M,MATCH($B15,'12_字段字典'!$B:$B,0)),"")</f>
        <v/>
      </c>
    </row>
    <row r="16" ht="27" customHeight="1" s="30">
      <c r="A16" t="inlineStr">
        <is>
          <t>A. 基本身份</t>
        </is>
      </c>
      <c r="B16" t="inlineStr">
        <is>
          <t>assembly_site_code</t>
        </is>
      </c>
      <c r="C16" t="inlineStr">
        <is>
          <t>总成装配地点代码</t>
        </is>
      </c>
      <c r="D16" t="inlineStr">
        <is>
          <t>assembly site code</t>
        </is>
      </c>
      <c r="E16" t="inlineStr">
        <is>
          <t>文本</t>
        </is>
      </c>
      <c r="F16" t="inlineStr">
        <is>
          <t>ASSEMBLY-TEMPLATE-001</t>
        </is>
      </c>
      <c r="G16" s="17" t="inlineStr">
        <is>
          <t>ASSEMBLY-TEMPLATE-001</t>
        </is>
      </c>
      <c r="H16" t="inlineStr">
        <is>
          <t>支持电芯制造工厂与总成装配地点不一致的通用产品场景</t>
        </is>
      </c>
      <c r="I16" t="inlineStr">
        <is>
          <t>工厂主数据/制造路线</t>
        </is>
      </c>
      <c r="J16" t="inlineStr">
        <is>
          <t>EU+CBAM</t>
        </is>
      </c>
      <c r="K16" s="16">
        <f>IFERROR(INDEX('12_字段字典'!$D:$D,MATCH($B16,'12_字段字典'!$B:$B,0)),"")</f>
        <v/>
      </c>
      <c r="L16" s="16">
        <f>IFERROR(INDEX('12_字段字典'!$E:$E,MATCH($B16,'12_字段字典'!$B:$B,0)),"")</f>
        <v/>
      </c>
      <c r="M16" s="16">
        <f>IFERROR(INDEX('12_字段字典'!$F:$F,MATCH($B16,'12_字段字典'!$B:$B,0)),"")</f>
        <v/>
      </c>
      <c r="N16" s="16">
        <f>IFERROR(INDEX('12_字段字典'!$G:$G,MATCH($B16,'12_字段字典'!$B:$B,0)),"")</f>
        <v/>
      </c>
      <c r="O16" s="16">
        <f>IFERROR(INDEX('12_字段字典'!$H:$H,MATCH($B16,'12_字段字典'!$B:$B,0)),"")</f>
        <v/>
      </c>
      <c r="P16" s="16">
        <f>IFERROR(INDEX('12_字段字典'!$I:$I,MATCH($B16,'12_字段字典'!$B:$B,0)),"")</f>
        <v/>
      </c>
      <c r="Q16" s="16">
        <f>IFERROR(INDEX('12_字段字典'!$J:$J,MATCH($B16,'12_字段字典'!$B:$B,0)),"")</f>
        <v/>
      </c>
      <c r="R16" s="16">
        <f>IFERROR(INDEX('12_字段字典'!$K:$K,MATCH($B16,'12_字段字典'!$B:$B,0)),"")</f>
        <v/>
      </c>
      <c r="S16" s="16">
        <f>IFERROR(INDEX('12_字段字典'!$L:$L,MATCH($B16,'12_字段字典'!$B:$B,0)),"")</f>
        <v/>
      </c>
      <c r="T16" s="16">
        <f>IFERROR(INDEX('12_字段字典'!$M:$M,MATCH($B16,'12_字段字典'!$B:$B,0)),"")</f>
        <v/>
      </c>
    </row>
    <row r="17" ht="27" customHeight="1" s="30">
      <c r="A17" t="inlineStr">
        <is>
          <t>A. 基本身份</t>
        </is>
      </c>
      <c r="B17" t="inlineStr">
        <is>
          <t>assembly_site_name</t>
        </is>
      </c>
      <c r="C17" t="inlineStr">
        <is>
          <t>总成装配地点名称</t>
        </is>
      </c>
      <c r="D17" t="inlineStr">
        <is>
          <t>assembly site name</t>
        </is>
      </c>
      <c r="E17" t="inlineStr">
        <is>
          <t>文本</t>
        </is>
      </c>
      <c r="F17" t="inlineStr">
        <is>
          <t>某总成装配地点（模板）</t>
        </is>
      </c>
      <c r="G17" s="17" t="inlineStr">
        <is>
          <t>某总成装配地点（模板）</t>
        </is>
      </c>
      <c r="H17" t="inlineStr">
        <is>
          <t>若产品是系统级或 pack 级，这个字段可以承接最终装配环节</t>
        </is>
      </c>
      <c r="I17" t="inlineStr">
        <is>
          <t>工厂主数据/制造路线</t>
        </is>
      </c>
      <c r="J17" t="inlineStr">
        <is>
          <t>EU+CBAM</t>
        </is>
      </c>
      <c r="K17" s="16">
        <f>IFERROR(INDEX('12_字段字典'!$D:$D,MATCH($B17,'12_字段字典'!$B:$B,0)),"")</f>
        <v/>
      </c>
      <c r="L17" s="16">
        <f>IFERROR(INDEX('12_字段字典'!$E:$E,MATCH($B17,'12_字段字典'!$B:$B,0)),"")</f>
        <v/>
      </c>
      <c r="M17" s="16">
        <f>IFERROR(INDEX('12_字段字典'!$F:$F,MATCH($B17,'12_字段字典'!$B:$B,0)),"")</f>
        <v/>
      </c>
      <c r="N17" s="16">
        <f>IFERROR(INDEX('12_字段字典'!$G:$G,MATCH($B17,'12_字段字典'!$B:$B,0)),"")</f>
        <v/>
      </c>
      <c r="O17" s="16">
        <f>IFERROR(INDEX('12_字段字典'!$H:$H,MATCH($B17,'12_字段字典'!$B:$B,0)),"")</f>
        <v/>
      </c>
      <c r="P17" s="16">
        <f>IFERROR(INDEX('12_字段字典'!$I:$I,MATCH($B17,'12_字段字典'!$B:$B,0)),"")</f>
        <v/>
      </c>
      <c r="Q17" s="16">
        <f>IFERROR(INDEX('12_字段字典'!$J:$J,MATCH($B17,'12_字段字典'!$B:$B,0)),"")</f>
        <v/>
      </c>
      <c r="R17" s="16">
        <f>IFERROR(INDEX('12_字段字典'!$K:$K,MATCH($B17,'12_字段字典'!$B:$B,0)),"")</f>
        <v/>
      </c>
      <c r="S17" s="16">
        <f>IFERROR(INDEX('12_字段字典'!$L:$L,MATCH($B17,'12_字段字典'!$B:$B,0)),"")</f>
        <v/>
      </c>
      <c r="T17" s="16">
        <f>IFERROR(INDEX('12_字段字典'!$M:$M,MATCH($B17,'12_字段字典'!$B:$B,0)),"")</f>
        <v/>
      </c>
    </row>
    <row r="18" ht="27" customHeight="1" s="30">
      <c r="A18" t="inlineStr">
        <is>
          <t>A. 基本身份</t>
        </is>
      </c>
      <c r="B18" t="inlineStr">
        <is>
          <t>assembly_site_country</t>
        </is>
      </c>
      <c r="C18" t="inlineStr">
        <is>
          <t>总成装配地点国家/地区</t>
        </is>
      </c>
      <c r="D18" t="inlineStr">
        <is>
          <t>assembly site country or region</t>
        </is>
      </c>
      <c r="E18" t="inlineStr">
        <is>
          <t>文本</t>
        </is>
      </c>
      <c r="F18" t="inlineStr">
        <is>
          <t>China</t>
        </is>
      </c>
      <c r="G18" s="17" t="inlineStr">
        <is>
          <t>China</t>
        </is>
      </c>
      <c r="H18" t="inlineStr">
        <is>
          <t>便于后续扩展欧洲本地装配或多地装配的场景</t>
        </is>
      </c>
      <c r="I18" t="inlineStr">
        <is>
          <t>工厂主数据/制造路线</t>
        </is>
      </c>
      <c r="J18" t="inlineStr">
        <is>
          <t>EU+CBAM</t>
        </is>
      </c>
      <c r="K18" s="16">
        <f>IFERROR(INDEX('12_字段字典'!$D:$D,MATCH($B18,'12_字段字典'!$B:$B,0)),"")</f>
        <v/>
      </c>
      <c r="L18" s="16">
        <f>IFERROR(INDEX('12_字段字典'!$E:$E,MATCH($B18,'12_字段字典'!$B:$B,0)),"")</f>
        <v/>
      </c>
      <c r="M18" s="16">
        <f>IFERROR(INDEX('12_字段字典'!$F:$F,MATCH($B18,'12_字段字典'!$B:$B,0)),"")</f>
        <v/>
      </c>
      <c r="N18" s="16">
        <f>IFERROR(INDEX('12_字段字典'!$G:$G,MATCH($B18,'12_字段字典'!$B:$B,0)),"")</f>
        <v/>
      </c>
      <c r="O18" s="16">
        <f>IFERROR(INDEX('12_字段字典'!$H:$H,MATCH($B18,'12_字段字典'!$B:$B,0)),"")</f>
        <v/>
      </c>
      <c r="P18" s="16">
        <f>IFERROR(INDEX('12_字段字典'!$I:$I,MATCH($B18,'12_字段字典'!$B:$B,0)),"")</f>
        <v/>
      </c>
      <c r="Q18" s="16">
        <f>IFERROR(INDEX('12_字段字典'!$J:$J,MATCH($B18,'12_字段字典'!$B:$B,0)),"")</f>
        <v/>
      </c>
      <c r="R18" s="16">
        <f>IFERROR(INDEX('12_字段字典'!$K:$K,MATCH($B18,'12_字段字典'!$B:$B,0)),"")</f>
        <v/>
      </c>
      <c r="S18" s="16">
        <f>IFERROR(INDEX('12_字段字典'!$L:$L,MATCH($B18,'12_字段字典'!$B:$B,0)),"")</f>
        <v/>
      </c>
      <c r="T18" s="16">
        <f>IFERROR(INDEX('12_字段字典'!$M:$M,MATCH($B18,'12_字段字典'!$B:$B,0)),"")</f>
        <v/>
      </c>
    </row>
    <row r="19" ht="27" customHeight="1" s="30">
      <c r="A19" t="inlineStr">
        <is>
          <t>A. 基本身份</t>
        </is>
      </c>
      <c r="B19" t="inlineStr">
        <is>
          <t>product_series</t>
        </is>
      </c>
      <c r="C19" t="inlineStr">
        <is>
          <t>产品系列/平台</t>
        </is>
      </c>
      <c r="D19" t="inlineStr">
        <is>
          <t>product series / platform</t>
        </is>
      </c>
      <c r="E19" t="inlineStr">
        <is>
          <t>文本</t>
        </is>
      </c>
      <c r="F19" t="inlineStr">
        <is>
          <t>CATL 通用产品系列（Template）</t>
        </is>
      </c>
      <c r="G19" s="17" t="inlineStr">
        <is>
          <t>CATL 通用产品系列（Template）</t>
        </is>
      </c>
      <c r="H19" t="inlineStr">
        <is>
          <t>用于兼容不同产品线，例如神行、麒麟、储能系统等</t>
        </is>
      </c>
      <c r="I19" t="inlineStr">
        <is>
          <t>产品主数据</t>
        </is>
      </c>
      <c r="J19" t="inlineStr">
        <is>
          <t>EU+CBAM</t>
        </is>
      </c>
      <c r="K19" s="16">
        <f>IFERROR(INDEX('12_字段字典'!$D:$D,MATCH($B19,'12_字段字典'!$B:$B,0)),"")</f>
        <v/>
      </c>
      <c r="L19" s="16">
        <f>IFERROR(INDEX('12_字段字典'!$E:$E,MATCH($B19,'12_字段字典'!$B:$B,0)),"")</f>
        <v/>
      </c>
      <c r="M19" s="16">
        <f>IFERROR(INDEX('12_字段字典'!$F:$F,MATCH($B19,'12_字段字典'!$B:$B,0)),"")</f>
        <v/>
      </c>
      <c r="N19" s="16">
        <f>IFERROR(INDEX('12_字段字典'!$G:$G,MATCH($B19,'12_字段字典'!$B:$B,0)),"")</f>
        <v/>
      </c>
      <c r="O19" s="16">
        <f>IFERROR(INDEX('12_字段字典'!$H:$H,MATCH($B19,'12_字段字典'!$B:$B,0)),"")</f>
        <v/>
      </c>
      <c r="P19" s="16">
        <f>IFERROR(INDEX('12_字段字典'!$I:$I,MATCH($B19,'12_字段字典'!$B:$B,0)),"")</f>
        <v/>
      </c>
      <c r="Q19" s="16">
        <f>IFERROR(INDEX('12_字段字典'!$J:$J,MATCH($B19,'12_字段字典'!$B:$B,0)),"")</f>
        <v/>
      </c>
      <c r="R19" s="16">
        <f>IFERROR(INDEX('12_字段字典'!$K:$K,MATCH($B19,'12_字段字典'!$B:$B,0)),"")</f>
        <v/>
      </c>
      <c r="S19" s="16">
        <f>IFERROR(INDEX('12_字段字典'!$L:$L,MATCH($B19,'12_字段字典'!$B:$B,0)),"")</f>
        <v/>
      </c>
      <c r="T19" s="16">
        <f>IFERROR(INDEX('12_字段字典'!$M:$M,MATCH($B19,'12_字段字典'!$B:$B,0)),"")</f>
        <v/>
      </c>
    </row>
    <row r="20" ht="40.5" customHeight="1" s="30">
      <c r="A20" t="inlineStr">
        <is>
          <t>A. 基本身份</t>
        </is>
      </c>
      <c r="B20" t="inlineStr">
        <is>
          <t>application_scenario</t>
        </is>
      </c>
      <c r="C20" t="inlineStr">
        <is>
          <t>应用场景</t>
        </is>
      </c>
      <c r="D20" t="inlineStr">
        <is>
          <t>application scenario</t>
        </is>
      </c>
      <c r="E20" t="inlineStr">
        <is>
          <t>文本</t>
        </is>
      </c>
      <c r="F20" t="inlineStr">
        <is>
          <t>EV / ESS / special application</t>
        </is>
      </c>
      <c r="G20" s="17" t="inlineStr">
        <is>
          <t>EV / ESS / special application</t>
        </is>
      </c>
      <c r="H20" t="inlineStr">
        <is>
          <t>用于区分动力、储能或其他产品场景</t>
        </is>
      </c>
      <c r="I20" t="inlineStr">
        <is>
          <t>产品主数据/规格书</t>
        </is>
      </c>
      <c r="J20" t="inlineStr">
        <is>
          <t>EU+CBAM</t>
        </is>
      </c>
      <c r="K20" s="16">
        <f>IFERROR(INDEX('12_字段字典'!$D:$D,MATCH($B20,'12_字段字典'!$B:$B,0)),"")</f>
        <v/>
      </c>
      <c r="L20" s="16">
        <f>IFERROR(INDEX('12_字段字典'!$E:$E,MATCH($B20,'12_字段字典'!$B:$B,0)),"")</f>
        <v/>
      </c>
      <c r="M20" s="16">
        <f>IFERROR(INDEX('12_字段字典'!$F:$F,MATCH($B20,'12_字段字典'!$B:$B,0)),"")</f>
        <v/>
      </c>
      <c r="N20" s="16">
        <f>IFERROR(INDEX('12_字段字典'!$G:$G,MATCH($B20,'12_字段字典'!$B:$B,0)),"")</f>
        <v/>
      </c>
      <c r="O20" s="16">
        <f>IFERROR(INDEX('12_字段字典'!$H:$H,MATCH($B20,'12_字段字典'!$B:$B,0)),"")</f>
        <v/>
      </c>
      <c r="P20" s="16">
        <f>IFERROR(INDEX('12_字段字典'!$I:$I,MATCH($B20,'12_字段字典'!$B:$B,0)),"")</f>
        <v/>
      </c>
      <c r="Q20" s="16">
        <f>IFERROR(INDEX('12_字段字典'!$J:$J,MATCH($B20,'12_字段字典'!$B:$B,0)),"")</f>
        <v/>
      </c>
      <c r="R20" s="16">
        <f>IFERROR(INDEX('12_字段字典'!$K:$K,MATCH($B20,'12_字段字典'!$B:$B,0)),"")</f>
        <v/>
      </c>
      <c r="S20" s="16">
        <f>IFERROR(INDEX('12_字段字典'!$L:$L,MATCH($B20,'12_字段字典'!$B:$B,0)),"")</f>
        <v/>
      </c>
      <c r="T20" s="16">
        <f>IFERROR(INDEX('12_字段字典'!$M:$M,MATCH($B20,'12_字段字典'!$B:$B,0)),"")</f>
        <v/>
      </c>
    </row>
    <row r="21" ht="27" customHeight="1" s="30">
      <c r="A21" t="inlineStr">
        <is>
          <t>A. 基本身份</t>
        </is>
      </c>
      <c r="B21" t="inlineStr">
        <is>
          <t>product_level</t>
        </is>
      </c>
      <c r="C21" t="inlineStr">
        <is>
          <t>申报对象层级</t>
        </is>
      </c>
      <c r="D21" t="inlineStr">
        <is>
          <t>declared product level</t>
        </is>
      </c>
      <c r="E21" t="inlineStr">
        <is>
          <t>文本</t>
        </is>
      </c>
      <c r="F21" t="inlineStr">
        <is>
          <t>cell / module / pack / system</t>
        </is>
      </c>
      <c r="G21" s="17" t="inlineStr">
        <is>
          <t>cell / module / pack / system</t>
        </is>
      </c>
      <c r="H21" t="inlineStr">
        <is>
          <t>通用模板必须允许不同申报对象层级</t>
        </is>
      </c>
      <c r="I21" t="inlineStr">
        <is>
          <t>产品主数据/护照规则</t>
        </is>
      </c>
      <c r="J21" t="inlineStr">
        <is>
          <t>EU+CBAM</t>
        </is>
      </c>
      <c r="K21" s="16">
        <f>IFERROR(INDEX('12_字段字典'!$D:$D,MATCH($B21,'12_字段字典'!$B:$B,0)),"")</f>
        <v/>
      </c>
      <c r="L21" s="16">
        <f>IFERROR(INDEX('12_字段字典'!$E:$E,MATCH($B21,'12_字段字典'!$B:$B,0)),"")</f>
        <v/>
      </c>
      <c r="M21" s="16">
        <f>IFERROR(INDEX('12_字段字典'!$F:$F,MATCH($B21,'12_字段字典'!$B:$B,0)),"")</f>
        <v/>
      </c>
      <c r="N21" s="16">
        <f>IFERROR(INDEX('12_字段字典'!$G:$G,MATCH($B21,'12_字段字典'!$B:$B,0)),"")</f>
        <v/>
      </c>
      <c r="O21" s="16">
        <f>IFERROR(INDEX('12_字段字典'!$H:$H,MATCH($B21,'12_字段字典'!$B:$B,0)),"")</f>
        <v/>
      </c>
      <c r="P21" s="16">
        <f>IFERROR(INDEX('12_字段字典'!$I:$I,MATCH($B21,'12_字段字典'!$B:$B,0)),"")</f>
        <v/>
      </c>
      <c r="Q21" s="16">
        <f>IFERROR(INDEX('12_字段字典'!$J:$J,MATCH($B21,'12_字段字典'!$B:$B,0)),"")</f>
        <v/>
      </c>
      <c r="R21" s="16">
        <f>IFERROR(INDEX('12_字段字典'!$K:$K,MATCH($B21,'12_字段字典'!$B:$B,0)),"")</f>
        <v/>
      </c>
      <c r="S21" s="16">
        <f>IFERROR(INDEX('12_字段字典'!$L:$L,MATCH($B21,'12_字段字典'!$B:$B,0)),"")</f>
        <v/>
      </c>
      <c r="T21" s="16">
        <f>IFERROR(INDEX('12_字段字典'!$M:$M,MATCH($B21,'12_字段字典'!$B:$B,0)),"")</f>
        <v/>
      </c>
    </row>
    <row r="22" ht="27" customHeight="1" s="30">
      <c r="A22" t="inlineStr">
        <is>
          <t>A. 基本身份</t>
        </is>
      </c>
      <c r="B22" t="inlineStr">
        <is>
          <t>declared_unit</t>
        </is>
      </c>
      <c r="C22" t="inlineStr">
        <is>
          <t>申报单位</t>
        </is>
      </c>
      <c r="D22" t="inlineStr">
        <is>
          <t>declared unit</t>
        </is>
      </c>
      <c r="E22" t="inlineStr">
        <is>
          <t>文本</t>
        </is>
      </c>
      <c r="F22" t="inlineStr">
        <is>
          <t>1 battery pack / 1 system</t>
        </is>
      </c>
      <c r="G22" s="17" t="inlineStr">
        <is>
          <t>1 battery pack / 1 system</t>
        </is>
      </c>
      <c r="H22" t="inlineStr">
        <is>
          <t>便于未来不同产品或系统级申报</t>
        </is>
      </c>
      <c r="I22" t="inlineStr">
        <is>
          <t>方法学说明</t>
        </is>
      </c>
      <c r="J22" t="inlineStr">
        <is>
          <t>EU+CBAM</t>
        </is>
      </c>
      <c r="K22" s="16">
        <f>IFERROR(INDEX('12_字段字典'!$D:$D,MATCH($B22,'12_字段字典'!$B:$B,0)),"")</f>
        <v/>
      </c>
      <c r="L22" s="16">
        <f>IFERROR(INDEX('12_字段字典'!$E:$E,MATCH($B22,'12_字段字典'!$B:$B,0)),"")</f>
        <v/>
      </c>
      <c r="M22" s="16">
        <f>IFERROR(INDEX('12_字段字典'!$F:$F,MATCH($B22,'12_字段字典'!$B:$B,0)),"")</f>
        <v/>
      </c>
      <c r="N22" s="16">
        <f>IFERROR(INDEX('12_字段字典'!$G:$G,MATCH($B22,'12_字段字典'!$B:$B,0)),"")</f>
        <v/>
      </c>
      <c r="O22" s="16">
        <f>IFERROR(INDEX('12_字段字典'!$H:$H,MATCH($B22,'12_字段字典'!$B:$B,0)),"")</f>
        <v/>
      </c>
      <c r="P22" s="16">
        <f>IFERROR(INDEX('12_字段字典'!$I:$I,MATCH($B22,'12_字段字典'!$B:$B,0)),"")</f>
        <v/>
      </c>
      <c r="Q22" s="16">
        <f>IFERROR(INDEX('12_字段字典'!$J:$J,MATCH($B22,'12_字段字典'!$B:$B,0)),"")</f>
        <v/>
      </c>
      <c r="R22" s="16">
        <f>IFERROR(INDEX('12_字段字典'!$K:$K,MATCH($B22,'12_字段字典'!$B:$B,0)),"")</f>
        <v/>
      </c>
      <c r="S22" s="16">
        <f>IFERROR(INDEX('12_字段字典'!$L:$L,MATCH($B22,'12_字段字典'!$B:$B,0)),"")</f>
        <v/>
      </c>
      <c r="T22" s="16">
        <f>IFERROR(INDEX('12_字段字典'!$M:$M,MATCH($B22,'12_字段字典'!$B:$B,0)),"")</f>
        <v/>
      </c>
    </row>
    <row r="23" ht="27" customHeight="1" s="30">
      <c r="A23" t="inlineStr">
        <is>
          <t>A. 基本身份</t>
        </is>
      </c>
      <c r="B23" t="inlineStr">
        <is>
          <t>destination_market</t>
        </is>
      </c>
      <c r="C23" t="inlineStr">
        <is>
          <t>目标市场</t>
        </is>
      </c>
      <c r="D23" t="inlineStr">
        <is>
          <t>destination market</t>
        </is>
      </c>
      <c r="E23" t="inlineStr">
        <is>
          <t>文本</t>
        </is>
      </c>
      <c r="F23" t="inlineStr">
        <is>
          <t>EU</t>
        </is>
      </c>
      <c r="G23" s="17" t="inlineStr">
        <is>
          <t>EU</t>
        </is>
      </c>
      <c r="H23" t="inlineStr">
        <is>
          <t>同一模板可扩展到不同市场版本</t>
        </is>
      </c>
      <c r="I23" t="inlineStr">
        <is>
          <t>项目主数据</t>
        </is>
      </c>
      <c r="J23" t="inlineStr">
        <is>
          <t>EU+CBAM</t>
        </is>
      </c>
      <c r="K23" s="16">
        <f>IFERROR(INDEX('12_字段字典'!$D:$D,MATCH($B23,'12_字段字典'!$B:$B,0)),"")</f>
        <v/>
      </c>
      <c r="L23" s="16">
        <f>IFERROR(INDEX('12_字段字典'!$E:$E,MATCH($B23,'12_字段字典'!$B:$B,0)),"")</f>
        <v/>
      </c>
      <c r="M23" s="16">
        <f>IFERROR(INDEX('12_字段字典'!$F:$F,MATCH($B23,'12_字段字典'!$B:$B,0)),"")</f>
        <v/>
      </c>
      <c r="N23" s="16">
        <f>IFERROR(INDEX('12_字段字典'!$G:$G,MATCH($B23,'12_字段字典'!$B:$B,0)),"")</f>
        <v/>
      </c>
      <c r="O23" s="16">
        <f>IFERROR(INDEX('12_字段字典'!$H:$H,MATCH($B23,'12_字段字典'!$B:$B,0)),"")</f>
        <v/>
      </c>
      <c r="P23" s="16">
        <f>IFERROR(INDEX('12_字段字典'!$I:$I,MATCH($B23,'12_字段字典'!$B:$B,0)),"")</f>
        <v/>
      </c>
      <c r="Q23" s="16">
        <f>IFERROR(INDEX('12_字段字典'!$J:$J,MATCH($B23,'12_字段字典'!$B:$B,0)),"")</f>
        <v/>
      </c>
      <c r="R23" s="16">
        <f>IFERROR(INDEX('12_字段字典'!$K:$K,MATCH($B23,'12_字段字典'!$B:$B,0)),"")</f>
        <v/>
      </c>
      <c r="S23" s="16">
        <f>IFERROR(INDEX('12_字段字典'!$L:$L,MATCH($B23,'12_字段字典'!$B:$B,0)),"")</f>
        <v/>
      </c>
      <c r="T23" s="16">
        <f>IFERROR(INDEX('12_字段字典'!$M:$M,MATCH($B23,'12_字段字典'!$B:$B,0)),"")</f>
        <v/>
      </c>
    </row>
    <row r="24" ht="27" customHeight="1" s="30">
      <c r="A24" t="inlineStr">
        <is>
          <t>A. 基本身份</t>
        </is>
      </c>
      <c r="B24" t="inlineStr">
        <is>
          <t>plant_country</t>
        </is>
      </c>
      <c r="C24" t="inlineStr">
        <is>
          <t>制造工厂所在国家</t>
        </is>
      </c>
      <c r="D24" t="inlineStr">
        <is>
          <t>plant country</t>
        </is>
      </c>
      <c r="E24" t="inlineStr">
        <is>
          <t>文本</t>
        </is>
      </c>
      <c r="F24" t="inlineStr">
        <is>
          <t>China</t>
        </is>
      </c>
      <c r="G24" s="17" t="inlineStr">
        <is>
          <t>China</t>
        </is>
      </c>
      <c r="H24" t="inlineStr">
        <is>
          <t>为未来跨境工厂和欧洲本地工厂预留接口</t>
        </is>
      </c>
      <c r="I24" t="inlineStr">
        <is>
          <t>工厂主数据</t>
        </is>
      </c>
      <c r="J24" t="inlineStr">
        <is>
          <t>EU+CBAM</t>
        </is>
      </c>
      <c r="K24" s="16">
        <f>IFERROR(INDEX('12_字段字典'!$D:$D,MATCH($B24,'12_字段字典'!$B:$B,0)),"")</f>
        <v/>
      </c>
      <c r="L24" s="16">
        <f>IFERROR(INDEX('12_字段字典'!$E:$E,MATCH($B24,'12_字段字典'!$B:$B,0)),"")</f>
        <v/>
      </c>
      <c r="M24" s="16">
        <f>IFERROR(INDEX('12_字段字典'!$F:$F,MATCH($B24,'12_字段字典'!$B:$B,0)),"")</f>
        <v/>
      </c>
      <c r="N24" s="16">
        <f>IFERROR(INDEX('12_字段字典'!$G:$G,MATCH($B24,'12_字段字典'!$B:$B,0)),"")</f>
        <v/>
      </c>
      <c r="O24" s="16">
        <f>IFERROR(INDEX('12_字段字典'!$H:$H,MATCH($B24,'12_字段字典'!$B:$B,0)),"")</f>
        <v/>
      </c>
      <c r="P24" s="16">
        <f>IFERROR(INDEX('12_字段字典'!$I:$I,MATCH($B24,'12_字段字典'!$B:$B,0)),"")</f>
        <v/>
      </c>
      <c r="Q24" s="16">
        <f>IFERROR(INDEX('12_字段字典'!$J:$J,MATCH($B24,'12_字段字典'!$B:$B,0)),"")</f>
        <v/>
      </c>
      <c r="R24" s="16">
        <f>IFERROR(INDEX('12_字段字典'!$K:$K,MATCH($B24,'12_字段字典'!$B:$B,0)),"")</f>
        <v/>
      </c>
      <c r="S24" s="16">
        <f>IFERROR(INDEX('12_字段字典'!$L:$L,MATCH($B24,'12_字段字典'!$B:$B,0)),"")</f>
        <v/>
      </c>
      <c r="T24" s="16">
        <f>IFERROR(INDEX('12_字段字典'!$M:$M,MATCH($B24,'12_字段字典'!$B:$B,0)),"")</f>
        <v/>
      </c>
    </row>
    <row r="25" ht="27" customHeight="1" s="30">
      <c r="A25" t="inlineStr">
        <is>
          <t>A. 基本身份</t>
        </is>
      </c>
      <c r="B25" t="inlineStr">
        <is>
          <t>cell_form_factor</t>
        </is>
      </c>
      <c r="C25" t="inlineStr">
        <is>
          <t>电芯形态</t>
        </is>
      </c>
      <c r="D25" t="inlineStr">
        <is>
          <t>cell form factor</t>
        </is>
      </c>
      <c r="E25" t="inlineStr">
        <is>
          <t>文本</t>
        </is>
      </c>
      <c r="F25" t="inlineStr">
        <is>
          <t>prismatic / cylindrical / pouch</t>
        </is>
      </c>
      <c r="G25" s="17" t="inlineStr">
        <is>
          <t>prismatic / cylindrical / pouch</t>
        </is>
      </c>
      <c r="H25" t="inlineStr">
        <is>
          <t>为不同产品平台预留结构差异接口</t>
        </is>
      </c>
      <c r="I25" t="inlineStr">
        <is>
          <t>规格书/产品主数据</t>
        </is>
      </c>
      <c r="J25" t="inlineStr">
        <is>
          <t>EU</t>
        </is>
      </c>
      <c r="K25" s="16">
        <f>IFERROR(INDEX('12_字段字典'!$D:$D,MATCH($B25,'12_字段字典'!$B:$B,0)),"")</f>
        <v/>
      </c>
      <c r="L25" s="16">
        <f>IFERROR(INDEX('12_字段字典'!$E:$E,MATCH($B25,'12_字段字典'!$B:$B,0)),"")</f>
        <v/>
      </c>
      <c r="M25" s="16">
        <f>IFERROR(INDEX('12_字段字典'!$F:$F,MATCH($B25,'12_字段字典'!$B:$B,0)),"")</f>
        <v/>
      </c>
      <c r="N25" s="16">
        <f>IFERROR(INDEX('12_字段字典'!$G:$G,MATCH($B25,'12_字段字典'!$B:$B,0)),"")</f>
        <v/>
      </c>
      <c r="O25" s="16">
        <f>IFERROR(INDEX('12_字段字典'!$H:$H,MATCH($B25,'12_字段字典'!$B:$B,0)),"")</f>
        <v/>
      </c>
      <c r="P25" s="16">
        <f>IFERROR(INDEX('12_字段字典'!$I:$I,MATCH($B25,'12_字段字典'!$B:$B,0)),"")</f>
        <v/>
      </c>
      <c r="Q25" s="16">
        <f>IFERROR(INDEX('12_字段字典'!$J:$J,MATCH($B25,'12_字段字典'!$B:$B,0)),"")</f>
        <v/>
      </c>
      <c r="R25" s="16">
        <f>IFERROR(INDEX('12_字段字典'!$K:$K,MATCH($B25,'12_字段字典'!$B:$B,0)),"")</f>
        <v/>
      </c>
      <c r="S25" s="16">
        <f>IFERROR(INDEX('12_字段字典'!$L:$L,MATCH($B25,'12_字段字典'!$B:$B,0)),"")</f>
        <v/>
      </c>
      <c r="T25" s="16">
        <f>IFERROR(INDEX('12_字段字典'!$M:$M,MATCH($B25,'12_字段字典'!$B:$B,0)),"")</f>
        <v/>
      </c>
    </row>
    <row r="26" ht="54" customHeight="1" s="30">
      <c r="A26" t="inlineStr">
        <is>
          <t>A. 基本身份</t>
        </is>
      </c>
      <c r="B26" t="inlineStr">
        <is>
          <t>architecture_type</t>
        </is>
      </c>
      <c r="C26" t="inlineStr">
        <is>
          <t>系统架构类型</t>
        </is>
      </c>
      <c r="D26" t="inlineStr">
        <is>
          <t>architecture type</t>
        </is>
      </c>
      <c r="E26" t="inlineStr">
        <is>
          <t>文本</t>
        </is>
      </c>
      <c r="F26" t="inlineStr">
        <is>
          <t>CTP / module-pack / containerized ESS</t>
        </is>
      </c>
      <c r="G26" s="17" t="inlineStr">
        <is>
          <t>CTP / module-pack / containerized ESS</t>
        </is>
      </c>
      <c r="H26" t="inlineStr">
        <is>
          <t>避免模板只绑定到神行 CTP 场景</t>
        </is>
      </c>
      <c r="I26" t="inlineStr">
        <is>
          <t>技术文档/产品主数据</t>
        </is>
      </c>
      <c r="J26" t="inlineStr">
        <is>
          <t>EU+CBAM</t>
        </is>
      </c>
      <c r="K26" s="16">
        <f>IFERROR(INDEX('12_字段字典'!$D:$D,MATCH($B26,'12_字段字典'!$B:$B,0)),"")</f>
        <v/>
      </c>
      <c r="L26" s="16">
        <f>IFERROR(INDEX('12_字段字典'!$E:$E,MATCH($B26,'12_字段字典'!$B:$B,0)),"")</f>
        <v/>
      </c>
      <c r="M26" s="16">
        <f>IFERROR(INDEX('12_字段字典'!$F:$F,MATCH($B26,'12_字段字典'!$B:$B,0)),"")</f>
        <v/>
      </c>
      <c r="N26" s="16">
        <f>IFERROR(INDEX('12_字段字典'!$G:$G,MATCH($B26,'12_字段字典'!$B:$B,0)),"")</f>
        <v/>
      </c>
      <c r="O26" s="16">
        <f>IFERROR(INDEX('12_字段字典'!$H:$H,MATCH($B26,'12_字段字典'!$B:$B,0)),"")</f>
        <v/>
      </c>
      <c r="P26" s="16">
        <f>IFERROR(INDEX('12_字段字典'!$I:$I,MATCH($B26,'12_字段字典'!$B:$B,0)),"")</f>
        <v/>
      </c>
      <c r="Q26" s="16">
        <f>IFERROR(INDEX('12_字段字典'!$J:$J,MATCH($B26,'12_字段字典'!$B:$B,0)),"")</f>
        <v/>
      </c>
      <c r="R26" s="16">
        <f>IFERROR(INDEX('12_字段字典'!$K:$K,MATCH($B26,'12_字段字典'!$B:$B,0)),"")</f>
        <v/>
      </c>
      <c r="S26" s="16">
        <f>IFERROR(INDEX('12_字段字典'!$L:$L,MATCH($B26,'12_字段字典'!$B:$B,0)),"")</f>
        <v/>
      </c>
      <c r="T26" s="16">
        <f>IFERROR(INDEX('12_字段字典'!$M:$M,MATCH($B26,'12_字段字典'!$B:$B,0)),"")</f>
        <v/>
      </c>
    </row>
    <row r="27" ht="27" customHeight="1" s="30">
      <c r="A27" t="inlineStr">
        <is>
          <t>A. 基本身份</t>
        </is>
      </c>
      <c r="B27" t="inlineStr">
        <is>
          <t>total_product_mass_kg</t>
        </is>
      </c>
      <c r="C27" t="inlineStr">
        <is>
          <t>产品总质量</t>
        </is>
      </c>
      <c r="D27" t="inlineStr">
        <is>
          <t>total product mass</t>
        </is>
      </c>
      <c r="E27" t="inlineStr">
        <is>
          <t>kg/unit</t>
        </is>
      </c>
      <c r="F27" t="n">
        <v>520</v>
      </c>
      <c r="G27" s="17" t="n">
        <v>520</v>
      </c>
      <c r="H27" t="inlineStr">
        <is>
          <t>为不同产品级别和系统级方案预留总质量接口</t>
        </is>
      </c>
      <c r="I27" t="inlineStr">
        <is>
          <t>规格书/BOM</t>
        </is>
      </c>
      <c r="J27" t="inlineStr">
        <is>
          <t>EU+CBAM</t>
        </is>
      </c>
      <c r="K27" s="16">
        <f>IFERROR(INDEX('12_字段字典'!$D:$D,MATCH($B27,'12_字段字典'!$B:$B,0)),"")</f>
        <v/>
      </c>
      <c r="L27" s="16">
        <f>IFERROR(INDEX('12_字段字典'!$E:$E,MATCH($B27,'12_字段字典'!$B:$B,0)),"")</f>
        <v/>
      </c>
      <c r="M27" s="16">
        <f>IFERROR(INDEX('12_字段字典'!$F:$F,MATCH($B27,'12_字段字典'!$B:$B,0)),"")</f>
        <v/>
      </c>
      <c r="N27" s="16">
        <f>IFERROR(INDEX('12_字段字典'!$G:$G,MATCH($B27,'12_字段字典'!$B:$B,0)),"")</f>
        <v/>
      </c>
      <c r="O27" s="16">
        <f>IFERROR(INDEX('12_字段字典'!$H:$H,MATCH($B27,'12_字段字典'!$B:$B,0)),"")</f>
        <v/>
      </c>
      <c r="P27" s="16">
        <f>IFERROR(INDEX('12_字段字典'!$I:$I,MATCH($B27,'12_字段字典'!$B:$B,0)),"")</f>
        <v/>
      </c>
      <c r="Q27" s="16">
        <f>IFERROR(INDEX('12_字段字典'!$J:$J,MATCH($B27,'12_字段字典'!$B:$B,0)),"")</f>
        <v/>
      </c>
      <c r="R27" s="16">
        <f>IFERROR(INDEX('12_字段字典'!$K:$K,MATCH($B27,'12_字段字典'!$B:$B,0)),"")</f>
        <v/>
      </c>
      <c r="S27" s="16">
        <f>IFERROR(INDEX('12_字段字典'!$L:$L,MATCH($B27,'12_字段字典'!$B:$B,0)),"")</f>
        <v/>
      </c>
      <c r="T27" s="16">
        <f>IFERROR(INDEX('12_字段字典'!$M:$M,MATCH($B27,'12_字段字典'!$B:$B,0)),"")</f>
        <v/>
      </c>
    </row>
    <row r="28" ht="27" customHeight="1" s="30">
      <c r="A28" t="inlineStr">
        <is>
          <t>A. 基本身份</t>
        </is>
      </c>
      <c r="B28" t="inlineStr">
        <is>
          <t>pcf_method_version</t>
        </is>
      </c>
      <c r="C28" t="inlineStr">
        <is>
          <t>碳足迹方法版本</t>
        </is>
      </c>
      <c r="D28" t="inlineStr">
        <is>
          <t>PCF methodology version</t>
        </is>
      </c>
      <c r="E28" t="inlineStr">
        <is>
          <t>文本</t>
        </is>
      </c>
      <c r="F28" t="inlineStr">
        <is>
          <t>EU Battery CF Method / internal template v1</t>
        </is>
      </c>
      <c r="G28" s="17" t="inlineStr">
        <is>
          <t>EU Battery CF Method / internal template v1</t>
        </is>
      </c>
      <c r="H28" t="inlineStr">
        <is>
          <t>记录当前产品采用哪一版方法学</t>
        </is>
      </c>
      <c r="I28" t="inlineStr">
        <is>
          <t>方法学说明/计算底稿</t>
        </is>
      </c>
      <c r="J28" t="inlineStr">
        <is>
          <t>EU+CBAM</t>
        </is>
      </c>
      <c r="K28" s="16">
        <f>IFERROR(INDEX('12_字段字典'!$D:$D,MATCH($B28,'12_字段字典'!$B:$B,0)),"")</f>
        <v/>
      </c>
      <c r="L28" s="16">
        <f>IFERROR(INDEX('12_字段字典'!$E:$E,MATCH($B28,'12_字段字典'!$B:$B,0)),"")</f>
        <v/>
      </c>
      <c r="M28" s="16">
        <f>IFERROR(INDEX('12_字段字典'!$F:$F,MATCH($B28,'12_字段字典'!$B:$B,0)),"")</f>
        <v/>
      </c>
      <c r="N28" s="16">
        <f>IFERROR(INDEX('12_字段字典'!$G:$G,MATCH($B28,'12_字段字典'!$B:$B,0)),"")</f>
        <v/>
      </c>
      <c r="O28" s="16">
        <f>IFERROR(INDEX('12_字段字典'!$H:$H,MATCH($B28,'12_字段字典'!$B:$B,0)),"")</f>
        <v/>
      </c>
      <c r="P28" s="16">
        <f>IFERROR(INDEX('12_字段字典'!$I:$I,MATCH($B28,'12_字段字典'!$B:$B,0)),"")</f>
        <v/>
      </c>
      <c r="Q28" s="16">
        <f>IFERROR(INDEX('12_字段字典'!$J:$J,MATCH($B28,'12_字段字典'!$B:$B,0)),"")</f>
        <v/>
      </c>
      <c r="R28" s="16">
        <f>IFERROR(INDEX('12_字段字典'!$K:$K,MATCH($B28,'12_字段字典'!$B:$B,0)),"")</f>
        <v/>
      </c>
      <c r="S28" s="16">
        <f>IFERROR(INDEX('12_字段字典'!$L:$L,MATCH($B28,'12_字段字典'!$B:$B,0)),"")</f>
        <v/>
      </c>
      <c r="T28" s="16">
        <f>IFERROR(INDEX('12_字段字典'!$M:$M,MATCH($B28,'12_字段字典'!$B:$B,0)),"")</f>
        <v/>
      </c>
    </row>
    <row r="29" ht="27" customHeight="1" s="30">
      <c r="A29" t="inlineStr">
        <is>
          <t>A. 基本身份</t>
        </is>
      </c>
      <c r="B29" t="inlineStr">
        <is>
          <t>factor_library_version</t>
        </is>
      </c>
      <c r="C29" t="inlineStr">
        <is>
          <t>因子库版本</t>
        </is>
      </c>
      <c r="D29" t="inlineStr">
        <is>
          <t>factor library version</t>
        </is>
      </c>
      <c r="E29" t="inlineStr">
        <is>
          <t>文本</t>
        </is>
      </c>
      <c r="F29" t="inlineStr">
        <is>
          <t>Factor Library v1.0</t>
        </is>
      </c>
      <c r="G29" s="17" t="inlineStr">
        <is>
          <t>Factor Library v1.0</t>
        </is>
      </c>
      <c r="H29" t="inlineStr">
        <is>
          <t>为中欧因子口径转换和版本管理预留接口</t>
        </is>
      </c>
      <c r="I29" t="inlineStr">
        <is>
          <t>因子库/方法说明</t>
        </is>
      </c>
      <c r="J29" t="inlineStr">
        <is>
          <t>EU+CBAM</t>
        </is>
      </c>
      <c r="K29" s="16">
        <f>IFERROR(INDEX('12_字段字典'!$D:$D,MATCH($B29,'12_字段字典'!$B:$B,0)),"")</f>
        <v/>
      </c>
      <c r="L29" s="16">
        <f>IFERROR(INDEX('12_字段字典'!$E:$E,MATCH($B29,'12_字段字典'!$B:$B,0)),"")</f>
        <v/>
      </c>
      <c r="M29" s="16">
        <f>IFERROR(INDEX('12_字段字典'!$F:$F,MATCH($B29,'12_字段字典'!$B:$B,0)),"")</f>
        <v/>
      </c>
      <c r="N29" s="16">
        <f>IFERROR(INDEX('12_字段字典'!$G:$G,MATCH($B29,'12_字段字典'!$B:$B,0)),"")</f>
        <v/>
      </c>
      <c r="O29" s="16">
        <f>IFERROR(INDEX('12_字段字典'!$H:$H,MATCH($B29,'12_字段字典'!$B:$B,0)),"")</f>
        <v/>
      </c>
      <c r="P29" s="16">
        <f>IFERROR(INDEX('12_字段字典'!$I:$I,MATCH($B29,'12_字段字典'!$B:$B,0)),"")</f>
        <v/>
      </c>
      <c r="Q29" s="16">
        <f>IFERROR(INDEX('12_字段字典'!$J:$J,MATCH($B29,'12_字段字典'!$B:$B,0)),"")</f>
        <v/>
      </c>
      <c r="R29" s="16">
        <f>IFERROR(INDEX('12_字段字典'!$K:$K,MATCH($B29,'12_字段字典'!$B:$B,0)),"")</f>
        <v/>
      </c>
      <c r="S29" s="16">
        <f>IFERROR(INDEX('12_字段字典'!$L:$L,MATCH($B29,'12_字段字典'!$B:$B,0)),"")</f>
        <v/>
      </c>
      <c r="T29" s="16">
        <f>IFERROR(INDEX('12_字段字典'!$M:$M,MATCH($B29,'12_字段字典'!$B:$B,0)),"")</f>
        <v/>
      </c>
    </row>
    <row r="30" ht="27" customHeight="1" s="30">
      <c r="A30" t="inlineStr">
        <is>
          <t>A. 基本身份</t>
        </is>
      </c>
      <c r="B30" t="inlineStr">
        <is>
          <t>verification_report_id</t>
        </is>
      </c>
      <c r="C30" t="inlineStr">
        <is>
          <t>核验报告编号</t>
        </is>
      </c>
      <c r="D30" t="inlineStr">
        <is>
          <t>verification report ID</t>
        </is>
      </c>
      <c r="E30" t="inlineStr">
        <is>
          <t>文本</t>
        </is>
      </c>
      <c r="F30" t="inlineStr">
        <is>
          <t>VERIFY-TEMPLATE-001</t>
        </is>
      </c>
      <c r="G30" s="17" t="inlineStr">
        <is>
          <t>VERIFY-TEMPLATE-001</t>
        </is>
      </c>
      <c r="H30" t="inlineStr">
        <is>
          <t>便于后续把第三方核验真正挂接到字段层</t>
        </is>
      </c>
      <c r="I30" t="inlineStr">
        <is>
          <t>核验声明/第三方报告</t>
        </is>
      </c>
      <c r="J30" t="inlineStr">
        <is>
          <t>EU+CBAM</t>
        </is>
      </c>
      <c r="K30" s="16">
        <f>IFERROR(INDEX('12_字段字典'!$D:$D,MATCH($B30,'12_字段字典'!$B:$B,0)),"")</f>
        <v/>
      </c>
      <c r="L30" s="16">
        <f>IFERROR(INDEX('12_字段字典'!$E:$E,MATCH($B30,'12_字段字典'!$B:$B,0)),"")</f>
        <v/>
      </c>
      <c r="M30" s="16">
        <f>IFERROR(INDEX('12_字段字典'!$F:$F,MATCH($B30,'12_字段字典'!$B:$B,0)),"")</f>
        <v/>
      </c>
      <c r="N30" s="16">
        <f>IFERROR(INDEX('12_字段字典'!$G:$G,MATCH($B30,'12_字段字典'!$B:$B,0)),"")</f>
        <v/>
      </c>
      <c r="O30" s="16">
        <f>IFERROR(INDEX('12_字段字典'!$H:$H,MATCH($B30,'12_字段字典'!$B:$B,0)),"")</f>
        <v/>
      </c>
      <c r="P30" s="16">
        <f>IFERROR(INDEX('12_字段字典'!$I:$I,MATCH($B30,'12_字段字典'!$B:$B,0)),"")</f>
        <v/>
      </c>
      <c r="Q30" s="16">
        <f>IFERROR(INDEX('12_字段字典'!$J:$J,MATCH($B30,'12_字段字典'!$B:$B,0)),"")</f>
        <v/>
      </c>
      <c r="R30" s="16">
        <f>IFERROR(INDEX('12_字段字典'!$K:$K,MATCH($B30,'12_字段字典'!$B:$B,0)),"")</f>
        <v/>
      </c>
      <c r="S30" s="16">
        <f>IFERROR(INDEX('12_字段字典'!$L:$L,MATCH($B30,'12_字段字典'!$B:$B,0)),"")</f>
        <v/>
      </c>
      <c r="T30" s="16">
        <f>IFERROR(INDEX('12_字段字典'!$M:$M,MATCH($B30,'12_字段字典'!$B:$B,0)),"")</f>
        <v/>
      </c>
    </row>
    <row r="31" ht="27" customHeight="1" s="30">
      <c r="A31" s="2" t="inlineStr">
        <is>
          <t>A. 基本身份</t>
        </is>
      </c>
      <c r="B31" s="2" t="inlineStr">
        <is>
          <t>pack_capacity_kwh</t>
        </is>
      </c>
      <c r="C31" s="2" t="inlineStr">
        <is>
          <t>申报单元额定容量</t>
        </is>
      </c>
      <c r="D31" s="2" t="inlineStr">
        <is>
          <t>declared unit capacity</t>
        </is>
      </c>
      <c r="E31" s="2" t="inlineStr">
        <is>
          <t>kWh/declared unit</t>
        </is>
      </c>
      <c r="F31" s="3" t="n">
        <v>60</v>
      </c>
      <c r="G31" s="18" t="n">
        <v>60</v>
      </c>
      <c r="H31" s="2" t="inlineStr">
        <is>
          <t>无论当前申报对象是 cell、module、pack 还是 system，都按当前申报单元填写容量</t>
        </is>
      </c>
      <c r="I31" s="2" t="inlineStr">
        <is>
          <t>规格书/测试报告</t>
        </is>
      </c>
      <c r="J31" s="2" t="inlineStr">
        <is>
          <t>EU</t>
        </is>
      </c>
      <c r="K31" s="16">
        <f>IFERROR(INDEX('12_字段字典'!$D:$D,MATCH($B31,'12_字段字典'!$B:$B,0)),"")</f>
        <v/>
      </c>
      <c r="L31" s="16">
        <f>IFERROR(INDEX('12_字段字典'!$E:$E,MATCH($B31,'12_字段字典'!$B:$B,0)),"")</f>
        <v/>
      </c>
      <c r="M31" s="16">
        <f>IFERROR(INDEX('12_字段字典'!$F:$F,MATCH($B31,'12_字段字典'!$B:$B,0)),"")</f>
        <v/>
      </c>
      <c r="N31" s="16">
        <f>IFERROR(INDEX('12_字段字典'!$G:$G,MATCH($B31,'12_字段字典'!$B:$B,0)),"")</f>
        <v/>
      </c>
      <c r="O31" s="16">
        <f>IFERROR(INDEX('12_字段字典'!$H:$H,MATCH($B31,'12_字段字典'!$B:$B,0)),"")</f>
        <v/>
      </c>
      <c r="P31" s="16">
        <f>IFERROR(INDEX('12_字段字典'!$I:$I,MATCH($B31,'12_字段字典'!$B:$B,0)),"")</f>
        <v/>
      </c>
      <c r="Q31" s="16">
        <f>IFERROR(INDEX('12_字段字典'!$J:$J,MATCH($B31,'12_字段字典'!$B:$B,0)),"")</f>
        <v/>
      </c>
      <c r="R31" s="16">
        <f>IFERROR(INDEX('12_字段字典'!$K:$K,MATCH($B31,'12_字段字典'!$B:$B,0)),"")</f>
        <v/>
      </c>
      <c r="S31" s="16">
        <f>IFERROR(INDEX('12_字段字典'!$L:$L,MATCH($B31,'12_字段字典'!$B:$B,0)),"")</f>
        <v/>
      </c>
      <c r="T31" s="16">
        <f>IFERROR(INDEX('12_字段字典'!$M:$M,MATCH($B31,'12_字段字典'!$B:$B,0)),"")</f>
        <v/>
      </c>
    </row>
    <row r="32" ht="27" customHeight="1" s="30">
      <c r="A32" s="2" t="inlineStr">
        <is>
          <t>A. 基本身份</t>
        </is>
      </c>
      <c r="B32" s="2" t="inlineStr">
        <is>
          <t>nominal_voltage_v</t>
        </is>
      </c>
      <c r="C32" s="2" t="inlineStr">
        <is>
          <t>标称电压</t>
        </is>
      </c>
      <c r="D32" s="2" t="inlineStr">
        <is>
          <t>nominal voltage</t>
        </is>
      </c>
      <c r="E32" s="2" t="inlineStr">
        <is>
          <t>V</t>
        </is>
      </c>
      <c r="F32" s="3" t="n">
        <v>400</v>
      </c>
      <c r="G32" s="18" t="n">
        <v>400</v>
      </c>
      <c r="H32" s="2" t="inlineStr">
        <is>
          <t>产品公开参数</t>
        </is>
      </c>
      <c r="I32" s="2" t="inlineStr">
        <is>
          <t>规格书/测试报告</t>
        </is>
      </c>
      <c r="J32" s="2" t="inlineStr">
        <is>
          <t>EU</t>
        </is>
      </c>
      <c r="K32" s="16">
        <f>IFERROR(INDEX('12_字段字典'!$D:$D,MATCH($B32,'12_字段字典'!$B:$B,0)),"")</f>
        <v/>
      </c>
      <c r="L32" s="16">
        <f>IFERROR(INDEX('12_字段字典'!$E:$E,MATCH($B32,'12_字段字典'!$B:$B,0)),"")</f>
        <v/>
      </c>
      <c r="M32" s="16">
        <f>IFERROR(INDEX('12_字段字典'!$F:$F,MATCH($B32,'12_字段字典'!$B:$B,0)),"")</f>
        <v/>
      </c>
      <c r="N32" s="16">
        <f>IFERROR(INDEX('12_字段字典'!$G:$G,MATCH($B32,'12_字段字典'!$B:$B,0)),"")</f>
        <v/>
      </c>
      <c r="O32" s="16">
        <f>IFERROR(INDEX('12_字段字典'!$H:$H,MATCH($B32,'12_字段字典'!$B:$B,0)),"")</f>
        <v/>
      </c>
      <c r="P32" s="16">
        <f>IFERROR(INDEX('12_字段字典'!$I:$I,MATCH($B32,'12_字段字典'!$B:$B,0)),"")</f>
        <v/>
      </c>
      <c r="Q32" s="16">
        <f>IFERROR(INDEX('12_字段字典'!$J:$J,MATCH($B32,'12_字段字典'!$B:$B,0)),"")</f>
        <v/>
      </c>
      <c r="R32" s="16">
        <f>IFERROR(INDEX('12_字段字典'!$K:$K,MATCH($B32,'12_字段字典'!$B:$B,0)),"")</f>
        <v/>
      </c>
      <c r="S32" s="16">
        <f>IFERROR(INDEX('12_字段字典'!$L:$L,MATCH($B32,'12_字段字典'!$B:$B,0)),"")</f>
        <v/>
      </c>
      <c r="T32" s="16">
        <f>IFERROR(INDEX('12_字段字典'!$M:$M,MATCH($B32,'12_字段字典'!$B:$B,0)),"")</f>
        <v/>
      </c>
    </row>
    <row r="33" ht="27" customHeight="1" s="30">
      <c r="A33" s="2" t="inlineStr">
        <is>
          <t>A. 基本身份</t>
        </is>
      </c>
      <c r="B33" s="2" t="inlineStr">
        <is>
          <t>cycle_life_cycles</t>
        </is>
      </c>
      <c r="C33" s="2" t="inlineStr">
        <is>
          <t>循环寿命</t>
        </is>
      </c>
      <c r="D33" s="2" t="inlineStr">
        <is>
          <t>cycle life</t>
        </is>
      </c>
      <c r="E33" s="2" t="inlineStr">
        <is>
          <t>cycles</t>
        </is>
      </c>
      <c r="F33" s="3" t="n">
        <v>3000</v>
      </c>
      <c r="G33" s="18" t="n">
        <v>3000</v>
      </c>
      <c r="H33" s="2" t="inlineStr">
        <is>
          <t>护照参数层</t>
        </is>
      </c>
      <c r="I33" s="2" t="inlineStr">
        <is>
          <t>测试报告</t>
        </is>
      </c>
      <c r="J33" s="2" t="inlineStr">
        <is>
          <t>EU</t>
        </is>
      </c>
      <c r="K33" s="16">
        <f>IFERROR(INDEX('12_字段字典'!$D:$D,MATCH($B33,'12_字段字典'!$B:$B,0)),"")</f>
        <v/>
      </c>
      <c r="L33" s="16">
        <f>IFERROR(INDEX('12_字段字典'!$E:$E,MATCH($B33,'12_字段字典'!$B:$B,0)),"")</f>
        <v/>
      </c>
      <c r="M33" s="16">
        <f>IFERROR(INDEX('12_字段字典'!$F:$F,MATCH($B33,'12_字段字典'!$B:$B,0)),"")</f>
        <v/>
      </c>
      <c r="N33" s="16">
        <f>IFERROR(INDEX('12_字段字典'!$G:$G,MATCH($B33,'12_字段字典'!$B:$B,0)),"")</f>
        <v/>
      </c>
      <c r="O33" s="16">
        <f>IFERROR(INDEX('12_字段字典'!$H:$H,MATCH($B33,'12_字段字典'!$B:$B,0)),"")</f>
        <v/>
      </c>
      <c r="P33" s="16">
        <f>IFERROR(INDEX('12_字段字典'!$I:$I,MATCH($B33,'12_字段字典'!$B:$B,0)),"")</f>
        <v/>
      </c>
      <c r="Q33" s="16">
        <f>IFERROR(INDEX('12_字段字典'!$J:$J,MATCH($B33,'12_字段字典'!$B:$B,0)),"")</f>
        <v/>
      </c>
      <c r="R33" s="16">
        <f>IFERROR(INDEX('12_字段字典'!$K:$K,MATCH($B33,'12_字段字典'!$B:$B,0)),"")</f>
        <v/>
      </c>
      <c r="S33" s="16">
        <f>IFERROR(INDEX('12_字段字典'!$L:$L,MATCH($B33,'12_字段字典'!$B:$B,0)),"")</f>
        <v/>
      </c>
      <c r="T33" s="16">
        <f>IFERROR(INDEX('12_字段字典'!$M:$M,MATCH($B33,'12_字段字典'!$B:$B,0)),"")</f>
        <v/>
      </c>
    </row>
    <row r="34" ht="27" customHeight="1" s="30">
      <c r="A34" s="2" t="inlineStr">
        <is>
          <t>A. 基本身份</t>
        </is>
      </c>
      <c r="B34" s="2" t="inlineStr">
        <is>
          <t>individual_battery_prefix</t>
        </is>
      </c>
      <c r="C34" s="2" t="inlineStr">
        <is>
          <t>个体电池编码前缀</t>
        </is>
      </c>
      <c r="D34" s="2" t="inlineStr">
        <is>
          <t>battery prefix</t>
        </is>
      </c>
      <c r="E34" s="2" t="inlineStr">
        <is>
          <t>文本</t>
        </is>
      </c>
      <c r="F34" s="2" t="inlineStr">
        <is>
          <t>GEN26Q1</t>
        </is>
      </c>
      <c r="G34" s="15" t="inlineStr">
        <is>
          <t>GEN26Q1</t>
        </is>
      </c>
      <c r="H34" s="2" t="inlineStr">
        <is>
          <t>模板前缀，后续可扩展为任意序列化规则</t>
        </is>
      </c>
      <c r="I34" s="2" t="inlineStr">
        <is>
          <t>序列化规则</t>
        </is>
      </c>
      <c r="J34" s="2" t="inlineStr">
        <is>
          <t>EU</t>
        </is>
      </c>
      <c r="K34" s="16">
        <f>IFERROR(INDEX('12_字段字典'!$D:$D,MATCH($B34,'12_字段字典'!$B:$B,0)),"")</f>
        <v/>
      </c>
      <c r="L34" s="16">
        <f>IFERROR(INDEX('12_字段字典'!$E:$E,MATCH($B34,'12_字段字典'!$B:$B,0)),"")</f>
        <v/>
      </c>
      <c r="M34" s="16">
        <f>IFERROR(INDEX('12_字段字典'!$F:$F,MATCH($B34,'12_字段字典'!$B:$B,0)),"")</f>
        <v/>
      </c>
      <c r="N34" s="16">
        <f>IFERROR(INDEX('12_字段字典'!$G:$G,MATCH($B34,'12_字段字典'!$B:$B,0)),"")</f>
        <v/>
      </c>
      <c r="O34" s="16">
        <f>IFERROR(INDEX('12_字段字典'!$H:$H,MATCH($B34,'12_字段字典'!$B:$B,0)),"")</f>
        <v/>
      </c>
      <c r="P34" s="16">
        <f>IFERROR(INDEX('12_字段字典'!$I:$I,MATCH($B34,'12_字段字典'!$B:$B,0)),"")</f>
        <v/>
      </c>
      <c r="Q34" s="16">
        <f>IFERROR(INDEX('12_字段字典'!$J:$J,MATCH($B34,'12_字段字典'!$B:$B,0)),"")</f>
        <v/>
      </c>
      <c r="R34" s="16">
        <f>IFERROR(INDEX('12_字段字典'!$K:$K,MATCH($B34,'12_字段字典'!$B:$B,0)),"")</f>
        <v/>
      </c>
      <c r="S34" s="16">
        <f>IFERROR(INDEX('12_字段字典'!$L:$L,MATCH($B34,'12_字段字典'!$B:$B,0)),"")</f>
        <v/>
      </c>
      <c r="T34" s="16">
        <f>IFERROR(INDEX('12_字段字典'!$M:$M,MATCH($B34,'12_字段字典'!$B:$B,0)),"")</f>
        <v/>
      </c>
    </row>
    <row r="35" ht="27" customHeight="1" s="30">
      <c r="A35" s="2" t="inlineStr">
        <is>
          <t>A. 基本身份</t>
        </is>
      </c>
      <c r="B35" s="2" t="inlineStr">
        <is>
          <t>due_diligence_policy_url</t>
        </is>
      </c>
      <c r="C35" s="2" t="inlineStr">
        <is>
          <t>尽调政策链接</t>
        </is>
      </c>
      <c r="D35" s="2" t="inlineStr">
        <is>
          <t>due diligence policy URL</t>
        </is>
      </c>
      <c r="E35" s="2" t="inlineStr">
        <is>
          <t>文本</t>
        </is>
      </c>
      <c r="F35" s="2" t="inlineStr">
        <is>
          <t>https://www.catl.com/</t>
        </is>
      </c>
      <c r="G35" s="15" t="inlineStr">
        <is>
          <t>https://www.catl.com/</t>
        </is>
      </c>
      <c r="H35" s="2" t="inlineStr">
        <is>
          <t>尽调公开字段</t>
        </is>
      </c>
      <c r="I35" s="2" t="inlineStr">
        <is>
          <t>政策文件/官网</t>
        </is>
      </c>
      <c r="J35" s="2" t="inlineStr">
        <is>
          <t>EU</t>
        </is>
      </c>
      <c r="K35" s="16">
        <f>IFERROR(INDEX('12_字段字典'!$D:$D,MATCH($B35,'12_字段字典'!$B:$B,0)),"")</f>
        <v/>
      </c>
      <c r="L35" s="16">
        <f>IFERROR(INDEX('12_字段字典'!$E:$E,MATCH($B35,'12_字段字典'!$B:$B,0)),"")</f>
        <v/>
      </c>
      <c r="M35" s="16">
        <f>IFERROR(INDEX('12_字段字典'!$F:$F,MATCH($B35,'12_字段字典'!$B:$B,0)),"")</f>
        <v/>
      </c>
      <c r="N35" s="16">
        <f>IFERROR(INDEX('12_字段字典'!$G:$G,MATCH($B35,'12_字段字典'!$B:$B,0)),"")</f>
        <v/>
      </c>
      <c r="O35" s="16">
        <f>IFERROR(INDEX('12_字段字典'!$H:$H,MATCH($B35,'12_字段字典'!$B:$B,0)),"")</f>
        <v/>
      </c>
      <c r="P35" s="16">
        <f>IFERROR(INDEX('12_字段字典'!$I:$I,MATCH($B35,'12_字段字典'!$B:$B,0)),"")</f>
        <v/>
      </c>
      <c r="Q35" s="16">
        <f>IFERROR(INDEX('12_字段字典'!$J:$J,MATCH($B35,'12_字段字典'!$B:$B,0)),"")</f>
        <v/>
      </c>
      <c r="R35" s="16">
        <f>IFERROR(INDEX('12_字段字典'!$K:$K,MATCH($B35,'12_字段字典'!$B:$B,0)),"")</f>
        <v/>
      </c>
      <c r="S35" s="16">
        <f>IFERROR(INDEX('12_字段字典'!$L:$L,MATCH($B35,'12_字段字典'!$B:$B,0)),"")</f>
        <v/>
      </c>
      <c r="T35" s="16">
        <f>IFERROR(INDEX('12_字段字典'!$M:$M,MATCH($B35,'12_字段字典'!$B:$B,0)),"")</f>
        <v/>
      </c>
    </row>
    <row r="36" ht="27" customHeight="1" s="30">
      <c r="A36" s="2" t="inlineStr">
        <is>
          <t>A. 基本身份</t>
        </is>
      </c>
      <c r="B36" s="2" t="inlineStr">
        <is>
          <t>qr_object_id</t>
        </is>
      </c>
      <c r="C36" s="2" t="inlineStr">
        <is>
          <t>护照对象 ID</t>
        </is>
      </c>
      <c r="D36" s="2" t="inlineStr">
        <is>
          <t>passport object id</t>
        </is>
      </c>
      <c r="E36" s="2" t="inlineStr">
        <is>
          <t>文本</t>
        </is>
      </c>
      <c r="F36" s="2" t="inlineStr">
        <is>
          <t>passport-generic-template-001</t>
        </is>
      </c>
      <c r="G36" s="15" t="inlineStr">
        <is>
          <t>passport-generic-template-001</t>
        </is>
      </c>
      <c r="H36" s="2" t="inlineStr">
        <is>
          <t>数字护照对象键</t>
        </is>
      </c>
      <c r="I36" s="2" t="inlineStr">
        <is>
          <t>护照系统对象 ID</t>
        </is>
      </c>
      <c r="J36" s="2" t="inlineStr">
        <is>
          <t>EU</t>
        </is>
      </c>
      <c r="K36" s="16">
        <f>IFERROR(INDEX('12_字段字典'!$D:$D,MATCH($B36,'12_字段字典'!$B:$B,0)),"")</f>
        <v/>
      </c>
      <c r="L36" s="16">
        <f>IFERROR(INDEX('12_字段字典'!$E:$E,MATCH($B36,'12_字段字典'!$B:$B,0)),"")</f>
        <v/>
      </c>
      <c r="M36" s="16">
        <f>IFERROR(INDEX('12_字段字典'!$F:$F,MATCH($B36,'12_字段字典'!$B:$B,0)),"")</f>
        <v/>
      </c>
      <c r="N36" s="16">
        <f>IFERROR(INDEX('12_字段字典'!$G:$G,MATCH($B36,'12_字段字典'!$B:$B,0)),"")</f>
        <v/>
      </c>
      <c r="O36" s="16">
        <f>IFERROR(INDEX('12_字段字典'!$H:$H,MATCH($B36,'12_字段字典'!$B:$B,0)),"")</f>
        <v/>
      </c>
      <c r="P36" s="16">
        <f>IFERROR(INDEX('12_字段字典'!$I:$I,MATCH($B36,'12_字段字典'!$B:$B,0)),"")</f>
        <v/>
      </c>
      <c r="Q36" s="16">
        <f>IFERROR(INDEX('12_字段字典'!$J:$J,MATCH($B36,'12_字段字典'!$B:$B,0)),"")</f>
        <v/>
      </c>
      <c r="R36" s="16">
        <f>IFERROR(INDEX('12_字段字典'!$K:$K,MATCH($B36,'12_字段字典'!$B:$B,0)),"")</f>
        <v/>
      </c>
      <c r="S36" s="16">
        <f>IFERROR(INDEX('12_字段字典'!$L:$L,MATCH($B36,'12_字段字典'!$B:$B,0)),"")</f>
        <v/>
      </c>
      <c r="T36" s="16">
        <f>IFERROR(INDEX('12_字段字典'!$M:$M,MATCH($B36,'12_字段字典'!$B:$B,0)),"")</f>
        <v/>
      </c>
    </row>
    <row r="37" ht="27" customHeight="1" s="30">
      <c r="A37" s="2" t="inlineStr">
        <is>
          <t>B. 合规准备状态</t>
        </is>
      </c>
      <c r="B37" s="2" t="inlineStr">
        <is>
          <t>pcf_study_status</t>
        </is>
      </c>
      <c r="C37" s="2" t="inlineStr">
        <is>
          <t>产品碳足迹研究底稿状态</t>
        </is>
      </c>
      <c r="D37" s="2" t="inlineStr">
        <is>
          <t>PCF study status</t>
        </is>
      </c>
      <c r="E37" s="2" t="inlineStr">
        <is>
          <t>文本</t>
        </is>
      </c>
      <c r="F37" s="2" t="inlineStr">
        <is>
          <t>齐备</t>
        </is>
      </c>
      <c r="G37" s="15" t="inlineStr">
        <is>
          <t>齐备</t>
        </is>
      </c>
      <c r="H37" s="2" t="inlineStr">
        <is>
          <t>碳足迹声明底稿是否齐备</t>
        </is>
      </c>
      <c r="I37" s="2" t="inlineStr">
        <is>
          <t>PCF 研究底稿</t>
        </is>
      </c>
      <c r="J37" s="2" t="inlineStr">
        <is>
          <t>EU</t>
        </is>
      </c>
      <c r="K37" s="16">
        <f>IFERROR(INDEX('12_字段字典'!$D:$D,MATCH($B37,'12_字段字典'!$B:$B,0)),"")</f>
        <v/>
      </c>
      <c r="L37" s="16">
        <f>IFERROR(INDEX('12_字段字典'!$E:$E,MATCH($B37,'12_字段字典'!$B:$B,0)),"")</f>
        <v/>
      </c>
      <c r="M37" s="16">
        <f>IFERROR(INDEX('12_字段字典'!$F:$F,MATCH($B37,'12_字段字典'!$B:$B,0)),"")</f>
        <v/>
      </c>
      <c r="N37" s="16">
        <f>IFERROR(INDEX('12_字段字典'!$G:$G,MATCH($B37,'12_字段字典'!$B:$B,0)),"")</f>
        <v/>
      </c>
      <c r="O37" s="16">
        <f>IFERROR(INDEX('12_字段字典'!$H:$H,MATCH($B37,'12_字段字典'!$B:$B,0)),"")</f>
        <v/>
      </c>
      <c r="P37" s="16">
        <f>IFERROR(INDEX('12_字段字典'!$I:$I,MATCH($B37,'12_字段字典'!$B:$B,0)),"")</f>
        <v/>
      </c>
      <c r="Q37" s="16">
        <f>IFERROR(INDEX('12_字段字典'!$J:$J,MATCH($B37,'12_字段字典'!$B:$B,0)),"")</f>
        <v/>
      </c>
      <c r="R37" s="16">
        <f>IFERROR(INDEX('12_字段字典'!$K:$K,MATCH($B37,'12_字段字典'!$B:$B,0)),"")</f>
        <v/>
      </c>
      <c r="S37" s="16">
        <f>IFERROR(INDEX('12_字段字典'!$L:$L,MATCH($B37,'12_字段字典'!$B:$B,0)),"")</f>
        <v/>
      </c>
      <c r="T37" s="16">
        <f>IFERROR(INDEX('12_字段字典'!$M:$M,MATCH($B37,'12_字段字典'!$B:$B,0)),"")</f>
        <v/>
      </c>
    </row>
    <row r="38" ht="27" customHeight="1" s="30">
      <c r="A38" s="2" t="inlineStr">
        <is>
          <t>B. 合规准备状态</t>
        </is>
      </c>
      <c r="B38" s="2" t="inlineStr">
        <is>
          <t>test_report_status</t>
        </is>
      </c>
      <c r="C38" s="2" t="inlineStr">
        <is>
          <t>测试报告状态</t>
        </is>
      </c>
      <c r="D38" s="2" t="inlineStr">
        <is>
          <t>test report status</t>
        </is>
      </c>
      <c r="E38" s="2" t="inlineStr">
        <is>
          <t>文本</t>
        </is>
      </c>
      <c r="F38" s="2" t="inlineStr">
        <is>
          <t>齐备</t>
        </is>
      </c>
      <c r="G38" s="15" t="inlineStr">
        <is>
          <t>齐备</t>
        </is>
      </c>
      <c r="H38" s="2" t="inlineStr">
        <is>
          <t>正式合规评估硬材料</t>
        </is>
      </c>
      <c r="I38" s="2" t="inlineStr">
        <is>
          <t>测试报告原件</t>
        </is>
      </c>
      <c r="J38" s="2" t="inlineStr">
        <is>
          <t>EU</t>
        </is>
      </c>
      <c r="K38" s="16">
        <f>IFERROR(INDEX('12_字段字典'!$D:$D,MATCH($B38,'12_字段字典'!$B:$B,0)),"")</f>
        <v/>
      </c>
      <c r="L38" s="16">
        <f>IFERROR(INDEX('12_字段字典'!$E:$E,MATCH($B38,'12_字段字典'!$B:$B,0)),"")</f>
        <v/>
      </c>
      <c r="M38" s="16">
        <f>IFERROR(INDEX('12_字段字典'!$F:$F,MATCH($B38,'12_字段字典'!$B:$B,0)),"")</f>
        <v/>
      </c>
      <c r="N38" s="16">
        <f>IFERROR(INDEX('12_字段字典'!$G:$G,MATCH($B38,'12_字段字典'!$B:$B,0)),"")</f>
        <v/>
      </c>
      <c r="O38" s="16">
        <f>IFERROR(INDEX('12_字段字典'!$H:$H,MATCH($B38,'12_字段字典'!$B:$B,0)),"")</f>
        <v/>
      </c>
      <c r="P38" s="16">
        <f>IFERROR(INDEX('12_字段字典'!$I:$I,MATCH($B38,'12_字段字典'!$B:$B,0)),"")</f>
        <v/>
      </c>
      <c r="Q38" s="16">
        <f>IFERROR(INDEX('12_字段字典'!$J:$J,MATCH($B38,'12_字段字典'!$B:$B,0)),"")</f>
        <v/>
      </c>
      <c r="R38" s="16">
        <f>IFERROR(INDEX('12_字段字典'!$K:$K,MATCH($B38,'12_字段字典'!$B:$B,0)),"")</f>
        <v/>
      </c>
      <c r="S38" s="16">
        <f>IFERROR(INDEX('12_字段字典'!$L:$L,MATCH($B38,'12_字段字典'!$B:$B,0)),"")</f>
        <v/>
      </c>
      <c r="T38" s="16">
        <f>IFERROR(INDEX('12_字段字典'!$M:$M,MATCH($B38,'12_字段字典'!$B:$B,0)),"")</f>
        <v/>
      </c>
    </row>
    <row r="39" ht="27" customHeight="1" s="30">
      <c r="A39" s="2" t="inlineStr">
        <is>
          <t>B. 合规准备状态</t>
        </is>
      </c>
      <c r="B39" s="2" t="inlineStr">
        <is>
          <t>technical_doc_status</t>
        </is>
      </c>
      <c r="C39" s="2" t="inlineStr">
        <is>
          <t>技术文档状态</t>
        </is>
      </c>
      <c r="D39" s="2" t="inlineStr">
        <is>
          <t>technical documentation status</t>
        </is>
      </c>
      <c r="E39" s="2" t="inlineStr">
        <is>
          <t>文本</t>
        </is>
      </c>
      <c r="F39" s="2" t="inlineStr">
        <is>
          <t>齐备</t>
        </is>
      </c>
      <c r="G39" s="15" t="inlineStr">
        <is>
          <t>齐备</t>
        </is>
      </c>
      <c r="H39" s="2" t="inlineStr">
        <is>
          <t>Annex VIII 关键材料</t>
        </is>
      </c>
      <c r="I39" s="2" t="inlineStr">
        <is>
          <t>图纸/说明书/计算书</t>
        </is>
      </c>
      <c r="J39" s="2" t="inlineStr">
        <is>
          <t>EU</t>
        </is>
      </c>
      <c r="K39" s="16">
        <f>IFERROR(INDEX('12_字段字典'!$D:$D,MATCH($B39,'12_字段字典'!$B:$B,0)),"")</f>
        <v/>
      </c>
      <c r="L39" s="16">
        <f>IFERROR(INDEX('12_字段字典'!$E:$E,MATCH($B39,'12_字段字典'!$B:$B,0)),"")</f>
        <v/>
      </c>
      <c r="M39" s="16">
        <f>IFERROR(INDEX('12_字段字典'!$F:$F,MATCH($B39,'12_字段字典'!$B:$B,0)),"")</f>
        <v/>
      </c>
      <c r="N39" s="16">
        <f>IFERROR(INDEX('12_字段字典'!$G:$G,MATCH($B39,'12_字段字典'!$B:$B,0)),"")</f>
        <v/>
      </c>
      <c r="O39" s="16">
        <f>IFERROR(INDEX('12_字段字典'!$H:$H,MATCH($B39,'12_字段字典'!$B:$B,0)),"")</f>
        <v/>
      </c>
      <c r="P39" s="16">
        <f>IFERROR(INDEX('12_字段字典'!$I:$I,MATCH($B39,'12_字段字典'!$B:$B,0)),"")</f>
        <v/>
      </c>
      <c r="Q39" s="16">
        <f>IFERROR(INDEX('12_字段字典'!$J:$J,MATCH($B39,'12_字段字典'!$B:$B,0)),"")</f>
        <v/>
      </c>
      <c r="R39" s="16">
        <f>IFERROR(INDEX('12_字段字典'!$K:$K,MATCH($B39,'12_字段字典'!$B:$B,0)),"")</f>
        <v/>
      </c>
      <c r="S39" s="16">
        <f>IFERROR(INDEX('12_字段字典'!$L:$L,MATCH($B39,'12_字段字典'!$B:$B,0)),"")</f>
        <v/>
      </c>
      <c r="T39" s="16">
        <f>IFERROR(INDEX('12_字段字典'!$M:$M,MATCH($B39,'12_字段字典'!$B:$B,0)),"")</f>
        <v/>
      </c>
    </row>
    <row r="40" ht="27" customHeight="1" s="30">
      <c r="A40" s="2" t="inlineStr">
        <is>
          <t>B. 合规准备状态</t>
        </is>
      </c>
      <c r="B40" s="2" t="inlineStr">
        <is>
          <t>third_party_verification_status</t>
        </is>
      </c>
      <c r="C40" s="2" t="inlineStr">
        <is>
          <t>第三方核验状态</t>
        </is>
      </c>
      <c r="D40" s="2" t="inlineStr">
        <is>
          <t>third-party verification status</t>
        </is>
      </c>
      <c r="E40" s="2" t="inlineStr">
        <is>
          <t>文本</t>
        </is>
      </c>
      <c r="F40" s="2" t="inlineStr">
        <is>
          <t>已核验</t>
        </is>
      </c>
      <c r="G40" s="15" t="inlineStr">
        <is>
          <t>已核验</t>
        </is>
      </c>
      <c r="H40" s="2" t="inlineStr">
        <is>
          <t>碳足迹/再生料/上游 PCF 关键状态</t>
        </is>
      </c>
      <c r="I40" s="2" t="inlineStr">
        <is>
          <t>核验声明</t>
        </is>
      </c>
      <c r="J40" s="2" t="inlineStr">
        <is>
          <t>EU+CBAM</t>
        </is>
      </c>
      <c r="K40" s="16">
        <f>IFERROR(INDEX('12_字段字典'!$D:$D,MATCH($B40,'12_字段字典'!$B:$B,0)),"")</f>
        <v/>
      </c>
      <c r="L40" s="16">
        <f>IFERROR(INDEX('12_字段字典'!$E:$E,MATCH($B40,'12_字段字典'!$B:$B,0)),"")</f>
        <v/>
      </c>
      <c r="M40" s="16">
        <f>IFERROR(INDEX('12_字段字典'!$F:$F,MATCH($B40,'12_字段字典'!$B:$B,0)),"")</f>
        <v/>
      </c>
      <c r="N40" s="16">
        <f>IFERROR(INDEX('12_字段字典'!$G:$G,MATCH($B40,'12_字段字典'!$B:$B,0)),"")</f>
        <v/>
      </c>
      <c r="O40" s="16">
        <f>IFERROR(INDEX('12_字段字典'!$H:$H,MATCH($B40,'12_字段字典'!$B:$B,0)),"")</f>
        <v/>
      </c>
      <c r="P40" s="16">
        <f>IFERROR(INDEX('12_字段字典'!$I:$I,MATCH($B40,'12_字段字典'!$B:$B,0)),"")</f>
        <v/>
      </c>
      <c r="Q40" s="16">
        <f>IFERROR(INDEX('12_字段字典'!$J:$J,MATCH($B40,'12_字段字典'!$B:$B,0)),"")</f>
        <v/>
      </c>
      <c r="R40" s="16">
        <f>IFERROR(INDEX('12_字段字典'!$K:$K,MATCH($B40,'12_字段字典'!$B:$B,0)),"")</f>
        <v/>
      </c>
      <c r="S40" s="16">
        <f>IFERROR(INDEX('12_字段字典'!$L:$L,MATCH($B40,'12_字段字典'!$B:$B,0)),"")</f>
        <v/>
      </c>
      <c r="T40" s="16">
        <f>IFERROR(INDEX('12_字段字典'!$M:$M,MATCH($B40,'12_字段字典'!$B:$B,0)),"")</f>
        <v/>
      </c>
    </row>
    <row r="41" ht="27" customHeight="1" s="30">
      <c r="A41" s="2" t="inlineStr">
        <is>
          <t>B. 合规准备状态</t>
        </is>
      </c>
      <c r="B41" s="2" t="inlineStr">
        <is>
          <t>passport_data_package_status</t>
        </is>
      </c>
      <c r="C41" s="2" t="inlineStr">
        <is>
          <t>护照数据包状态</t>
        </is>
      </c>
      <c r="D41" s="2" t="inlineStr">
        <is>
          <t>passport data package status</t>
        </is>
      </c>
      <c r="E41" s="2" t="inlineStr">
        <is>
          <t>文本</t>
        </is>
      </c>
      <c r="F41" s="2" t="inlineStr">
        <is>
          <t>齐备</t>
        </is>
      </c>
      <c r="G41" s="15" t="inlineStr">
        <is>
          <t>齐备</t>
        </is>
      </c>
      <c r="H41" s="2" t="inlineStr">
        <is>
          <t>决定护照对象能否生成</t>
        </is>
      </c>
      <c r="I41" s="2" t="inlineStr">
        <is>
          <t>结构化数据包</t>
        </is>
      </c>
      <c r="J41" s="2" t="inlineStr">
        <is>
          <t>EU</t>
        </is>
      </c>
      <c r="K41" s="16">
        <f>IFERROR(INDEX('12_字段字典'!$D:$D,MATCH($B41,'12_字段字典'!$B:$B,0)),"")</f>
        <v/>
      </c>
      <c r="L41" s="16">
        <f>IFERROR(INDEX('12_字段字典'!$E:$E,MATCH($B41,'12_字段字典'!$B:$B,0)),"")</f>
        <v/>
      </c>
      <c r="M41" s="16">
        <f>IFERROR(INDEX('12_字段字典'!$F:$F,MATCH($B41,'12_字段字典'!$B:$B,0)),"")</f>
        <v/>
      </c>
      <c r="N41" s="16">
        <f>IFERROR(INDEX('12_字段字典'!$G:$G,MATCH($B41,'12_字段字典'!$B:$B,0)),"")</f>
        <v/>
      </c>
      <c r="O41" s="16">
        <f>IFERROR(INDEX('12_字段字典'!$H:$H,MATCH($B41,'12_字段字典'!$B:$B,0)),"")</f>
        <v/>
      </c>
      <c r="P41" s="16">
        <f>IFERROR(INDEX('12_字段字典'!$I:$I,MATCH($B41,'12_字段字典'!$B:$B,0)),"")</f>
        <v/>
      </c>
      <c r="Q41" s="16">
        <f>IFERROR(INDEX('12_字段字典'!$J:$J,MATCH($B41,'12_字段字典'!$B:$B,0)),"")</f>
        <v/>
      </c>
      <c r="R41" s="16">
        <f>IFERROR(INDEX('12_字段字典'!$K:$K,MATCH($B41,'12_字段字典'!$B:$B,0)),"")</f>
        <v/>
      </c>
      <c r="S41" s="16">
        <f>IFERROR(INDEX('12_字段字典'!$L:$L,MATCH($B41,'12_字段字典'!$B:$B,0)),"")</f>
        <v/>
      </c>
      <c r="T41" s="16">
        <f>IFERROR(INDEX('12_字段字典'!$M:$M,MATCH($B41,'12_字段字典'!$B:$B,0)),"")</f>
        <v/>
      </c>
    </row>
    <row r="42" ht="27" customHeight="1" s="30">
      <c r="A42" s="2" t="inlineStr">
        <is>
          <t>B. 合规准备状态</t>
        </is>
      </c>
      <c r="B42" s="2" t="inlineStr">
        <is>
          <t>access_matrix_status</t>
        </is>
      </c>
      <c r="C42" s="2" t="inlineStr">
        <is>
          <t>分层访问矩阵状态</t>
        </is>
      </c>
      <c r="D42" s="2" t="inlineStr">
        <is>
          <t>access matrix status</t>
        </is>
      </c>
      <c r="E42" s="2" t="inlineStr">
        <is>
          <t>文本</t>
        </is>
      </c>
      <c r="F42" s="2" t="inlineStr">
        <is>
          <t>齐备</t>
        </is>
      </c>
      <c r="G42" s="15" t="inlineStr">
        <is>
          <t>齐备</t>
        </is>
      </c>
      <c r="H42" s="2" t="inlineStr">
        <is>
          <t>保护数据主权的关键控制项</t>
        </is>
      </c>
      <c r="I42" s="2" t="inlineStr">
        <is>
          <t>访问矩阵文档</t>
        </is>
      </c>
      <c r="J42" s="2" t="inlineStr">
        <is>
          <t>EU+CBAM</t>
        </is>
      </c>
      <c r="K42" s="16">
        <f>IFERROR(INDEX('12_字段字典'!$D:$D,MATCH($B42,'12_字段字典'!$B:$B,0)),"")</f>
        <v/>
      </c>
      <c r="L42" s="16">
        <f>IFERROR(INDEX('12_字段字典'!$E:$E,MATCH($B42,'12_字段字典'!$B:$B,0)),"")</f>
        <v/>
      </c>
      <c r="M42" s="16">
        <f>IFERROR(INDEX('12_字段字典'!$F:$F,MATCH($B42,'12_字段字典'!$B:$B,0)),"")</f>
        <v/>
      </c>
      <c r="N42" s="16">
        <f>IFERROR(INDEX('12_字段字典'!$G:$G,MATCH($B42,'12_字段字典'!$B:$B,0)),"")</f>
        <v/>
      </c>
      <c r="O42" s="16">
        <f>IFERROR(INDEX('12_字段字典'!$H:$H,MATCH($B42,'12_字段字典'!$B:$B,0)),"")</f>
        <v/>
      </c>
      <c r="P42" s="16">
        <f>IFERROR(INDEX('12_字段字典'!$I:$I,MATCH($B42,'12_字段字典'!$B:$B,0)),"")</f>
        <v/>
      </c>
      <c r="Q42" s="16">
        <f>IFERROR(INDEX('12_字段字典'!$J:$J,MATCH($B42,'12_字段字典'!$B:$B,0)),"")</f>
        <v/>
      </c>
      <c r="R42" s="16">
        <f>IFERROR(INDEX('12_字段字典'!$K:$K,MATCH($B42,'12_字段字典'!$B:$B,0)),"")</f>
        <v/>
      </c>
      <c r="S42" s="16">
        <f>IFERROR(INDEX('12_字段字典'!$L:$L,MATCH($B42,'12_字段字典'!$B:$B,0)),"")</f>
        <v/>
      </c>
      <c r="T42" s="16">
        <f>IFERROR(INDEX('12_字段字典'!$M:$M,MATCH($B42,'12_字段字典'!$B:$B,0)),"")</f>
        <v/>
      </c>
    </row>
    <row r="43" ht="27" customHeight="1" s="30">
      <c r="A43" s="2" t="inlineStr">
        <is>
          <t>B. 合规准备状态</t>
        </is>
      </c>
      <c r="B43" s="2" t="inlineStr">
        <is>
          <t>supplier_traceability_coverage_pct</t>
        </is>
      </c>
      <c r="C43" s="2" t="inlineStr">
        <is>
          <t>供应链追溯覆盖率</t>
        </is>
      </c>
      <c r="D43" s="2" t="inlineStr">
        <is>
          <t>traceability coverage</t>
        </is>
      </c>
      <c r="E43" s="2" t="inlineStr">
        <is>
          <t>%</t>
        </is>
      </c>
      <c r="F43" s="35" t="n">
        <v>0.92</v>
      </c>
      <c r="G43" s="36" t="n">
        <v>0.92</v>
      </c>
      <c r="H43" s="2" t="inlineStr">
        <is>
          <t>越高越能支撑尽调与追溯</t>
        </is>
      </c>
      <c r="I43" s="2" t="inlineStr">
        <is>
          <t>追溯台账</t>
        </is>
      </c>
      <c r="J43" s="2" t="inlineStr">
        <is>
          <t>EU+CBAM</t>
        </is>
      </c>
      <c r="K43" s="16">
        <f>IFERROR(INDEX('12_字段字典'!$D:$D,MATCH($B43,'12_字段字典'!$B:$B,0)),"")</f>
        <v/>
      </c>
      <c r="L43" s="16">
        <f>IFERROR(INDEX('12_字段字典'!$E:$E,MATCH($B43,'12_字段字典'!$B:$B,0)),"")</f>
        <v/>
      </c>
      <c r="M43" s="16">
        <f>IFERROR(INDEX('12_字段字典'!$F:$F,MATCH($B43,'12_字段字典'!$B:$B,0)),"")</f>
        <v/>
      </c>
      <c r="N43" s="16">
        <f>IFERROR(INDEX('12_字段字典'!$G:$G,MATCH($B43,'12_字段字典'!$B:$B,0)),"")</f>
        <v/>
      </c>
      <c r="O43" s="16">
        <f>IFERROR(INDEX('12_字段字典'!$H:$H,MATCH($B43,'12_字段字典'!$B:$B,0)),"")</f>
        <v/>
      </c>
      <c r="P43" s="16">
        <f>IFERROR(INDEX('12_字段字典'!$I:$I,MATCH($B43,'12_字段字典'!$B:$B,0)),"")</f>
        <v/>
      </c>
      <c r="Q43" s="16">
        <f>IFERROR(INDEX('12_字段字典'!$J:$J,MATCH($B43,'12_字段字典'!$B:$B,0)),"")</f>
        <v/>
      </c>
      <c r="R43" s="16">
        <f>IFERROR(INDEX('12_字段字典'!$K:$K,MATCH($B43,'12_字段字典'!$B:$B,0)),"")</f>
        <v/>
      </c>
      <c r="S43" s="16">
        <f>IFERROR(INDEX('12_字段字典'!$L:$L,MATCH($B43,'12_字段字典'!$B:$B,0)),"")</f>
        <v/>
      </c>
      <c r="T43" s="16">
        <f>IFERROR(INDEX('12_字段字典'!$M:$M,MATCH($B43,'12_字段字典'!$B:$B,0)),"")</f>
        <v/>
      </c>
    </row>
    <row r="44" ht="27" customHeight="1" s="30">
      <c r="A44" s="2" t="inlineStr">
        <is>
          <t>B. 合规准备状态</t>
        </is>
      </c>
      <c r="B44" s="2" t="inlineStr">
        <is>
          <t>supplier_pcf_coverage_pct</t>
        </is>
      </c>
      <c r="C44" s="2" t="inlineStr">
        <is>
          <t>供应商 PCF 覆盖率</t>
        </is>
      </c>
      <c r="D44" s="2" t="inlineStr">
        <is>
          <t>supplier PCF coverage</t>
        </is>
      </c>
      <c r="E44" s="2" t="inlineStr">
        <is>
          <t>%</t>
        </is>
      </c>
      <c r="F44" s="35" t="n">
        <v>0.76</v>
      </c>
      <c r="G44" s="36" t="n">
        <v>0.76</v>
      </c>
      <c r="H44" s="2" t="inlineStr">
        <is>
          <t>决定上游碳数据基础强度</t>
        </is>
      </c>
      <c r="I44" s="2" t="inlineStr">
        <is>
          <t>供应商 PCF 报告</t>
        </is>
      </c>
      <c r="J44" s="2" t="inlineStr">
        <is>
          <t>EU+CBAM</t>
        </is>
      </c>
      <c r="K44" s="16">
        <f>IFERROR(INDEX('12_字段字典'!$D:$D,MATCH($B44,'12_字段字典'!$B:$B,0)),"")</f>
        <v/>
      </c>
      <c r="L44" s="16">
        <f>IFERROR(INDEX('12_字段字典'!$E:$E,MATCH($B44,'12_字段字典'!$B:$B,0)),"")</f>
        <v/>
      </c>
      <c r="M44" s="16">
        <f>IFERROR(INDEX('12_字段字典'!$F:$F,MATCH($B44,'12_字段字典'!$B:$B,0)),"")</f>
        <v/>
      </c>
      <c r="N44" s="16">
        <f>IFERROR(INDEX('12_字段字典'!$G:$G,MATCH($B44,'12_字段字典'!$B:$B,0)),"")</f>
        <v/>
      </c>
      <c r="O44" s="16">
        <f>IFERROR(INDEX('12_字段字典'!$H:$H,MATCH($B44,'12_字段字典'!$B:$B,0)),"")</f>
        <v/>
      </c>
      <c r="P44" s="16">
        <f>IFERROR(INDEX('12_字段字典'!$I:$I,MATCH($B44,'12_字段字典'!$B:$B,0)),"")</f>
        <v/>
      </c>
      <c r="Q44" s="16">
        <f>IFERROR(INDEX('12_字段字典'!$J:$J,MATCH($B44,'12_字段字典'!$B:$B,0)),"")</f>
        <v/>
      </c>
      <c r="R44" s="16">
        <f>IFERROR(INDEX('12_字段字典'!$K:$K,MATCH($B44,'12_字段字典'!$B:$B,0)),"")</f>
        <v/>
      </c>
      <c r="S44" s="16">
        <f>IFERROR(INDEX('12_字段字典'!$L:$L,MATCH($B44,'12_字段字典'!$B:$B,0)),"")</f>
        <v/>
      </c>
      <c r="T44" s="16">
        <f>IFERROR(INDEX('12_字段字典'!$M:$M,MATCH($B44,'12_字段字典'!$B:$B,0)),"")</f>
        <v/>
      </c>
    </row>
    <row r="45" ht="27" customHeight="1" s="30">
      <c r="A45" s="2" t="inlineStr">
        <is>
          <t>B. 合规准备状态</t>
        </is>
      </c>
      <c r="B45" s="2" t="inlineStr">
        <is>
          <t>critical_material_scope</t>
        </is>
      </c>
      <c r="C45" s="2" t="inlineStr">
        <is>
          <t>关键原材料追溯范围</t>
        </is>
      </c>
      <c r="D45" s="2" t="inlineStr">
        <is>
          <t>critical material scope</t>
        </is>
      </c>
      <c r="E45" s="2" t="inlineStr">
        <is>
          <t>文本</t>
        </is>
      </c>
      <c r="F45" s="2" t="inlineStr">
        <is>
          <t>lithium / graphite / aluminium / copper / steel</t>
        </is>
      </c>
      <c r="G45" s="15" t="inlineStr">
        <is>
          <t>lithium / graphite / aluminium / copper / steel</t>
        </is>
      </c>
      <c r="H45" s="2" t="inlineStr">
        <is>
          <t>当前模板默认覆盖的关键原材料，可按实际产品扩展或缩减</t>
        </is>
      </c>
      <c r="I45" s="2" t="inlineStr">
        <is>
          <t>BOM/追溯记录</t>
        </is>
      </c>
      <c r="J45" s="2" t="inlineStr">
        <is>
          <t>EU+CBAM</t>
        </is>
      </c>
      <c r="K45" s="16">
        <f>IFERROR(INDEX('12_字段字典'!$D:$D,MATCH($B45,'12_字段字典'!$B:$B,0)),"")</f>
        <v/>
      </c>
      <c r="L45" s="16">
        <f>IFERROR(INDEX('12_字段字典'!$E:$E,MATCH($B45,'12_字段字典'!$B:$B,0)),"")</f>
        <v/>
      </c>
      <c r="M45" s="16">
        <f>IFERROR(INDEX('12_字段字典'!$F:$F,MATCH($B45,'12_字段字典'!$B:$B,0)),"")</f>
        <v/>
      </c>
      <c r="N45" s="16">
        <f>IFERROR(INDEX('12_字段字典'!$G:$G,MATCH($B45,'12_字段字典'!$B:$B,0)),"")</f>
        <v/>
      </c>
      <c r="O45" s="16">
        <f>IFERROR(INDEX('12_字段字典'!$H:$H,MATCH($B45,'12_字段字典'!$B:$B,0)),"")</f>
        <v/>
      </c>
      <c r="P45" s="16">
        <f>IFERROR(INDEX('12_字段字典'!$I:$I,MATCH($B45,'12_字段字典'!$B:$B,0)),"")</f>
        <v/>
      </c>
      <c r="Q45" s="16">
        <f>IFERROR(INDEX('12_字段字典'!$J:$J,MATCH($B45,'12_字段字典'!$B:$B,0)),"")</f>
        <v/>
      </c>
      <c r="R45" s="16">
        <f>IFERROR(INDEX('12_字段字典'!$K:$K,MATCH($B45,'12_字段字典'!$B:$B,0)),"")</f>
        <v/>
      </c>
      <c r="S45" s="16">
        <f>IFERROR(INDEX('12_字段字典'!$L:$L,MATCH($B45,'12_字段字典'!$B:$B,0)),"")</f>
        <v/>
      </c>
      <c r="T45" s="16">
        <f>IFERROR(INDEX('12_字段字典'!$M:$M,MATCH($B45,'12_字段字典'!$B:$B,0)),"")</f>
        <v/>
      </c>
    </row>
    <row r="46" ht="27" customHeight="1" s="30">
      <c r="A46" s="2" t="inlineStr">
        <is>
          <t>C. 材料用量</t>
        </is>
      </c>
      <c r="B46" s="2" t="inlineStr">
        <is>
          <t>cathode_mass_kg</t>
        </is>
      </c>
      <c r="C46" s="2" t="inlineStr">
        <is>
          <t>正极材料质量</t>
        </is>
      </c>
      <c r="D46" s="2" t="inlineStr">
        <is>
          <t>cathode mass</t>
        </is>
      </c>
      <c r="E46" s="2" t="inlineStr">
        <is>
          <t>kg/declared unit</t>
        </is>
      </c>
      <c r="F46" s="3" t="n">
        <v>140</v>
      </c>
      <c r="G46" s="18" t="n">
        <v>140</v>
      </c>
      <c r="H46" s="2" t="inlineStr">
        <is>
          <t>按当前申报单元填报，而不是默认按单个电池包填报</t>
        </is>
      </c>
      <c r="I46" s="2" t="inlineStr">
        <is>
          <t>BOM</t>
        </is>
      </c>
      <c r="J46" s="2" t="inlineStr">
        <is>
          <t>EU</t>
        </is>
      </c>
      <c r="K46" s="16">
        <f>IFERROR(INDEX('12_字段字典'!$D:$D,MATCH($B46,'12_字段字典'!$B:$B,0)),"")</f>
        <v/>
      </c>
      <c r="L46" s="16">
        <f>IFERROR(INDEX('12_字段字典'!$E:$E,MATCH($B46,'12_字段字典'!$B:$B,0)),"")</f>
        <v/>
      </c>
      <c r="M46" s="16">
        <f>IFERROR(INDEX('12_字段字典'!$F:$F,MATCH($B46,'12_字段字典'!$B:$B,0)),"")</f>
        <v/>
      </c>
      <c r="N46" s="16">
        <f>IFERROR(INDEX('12_字段字典'!$G:$G,MATCH($B46,'12_字段字典'!$B:$B,0)),"")</f>
        <v/>
      </c>
      <c r="O46" s="16">
        <f>IFERROR(INDEX('12_字段字典'!$H:$H,MATCH($B46,'12_字段字典'!$B:$B,0)),"")</f>
        <v/>
      </c>
      <c r="P46" s="16">
        <f>IFERROR(INDEX('12_字段字典'!$I:$I,MATCH($B46,'12_字段字典'!$B:$B,0)),"")</f>
        <v/>
      </c>
      <c r="Q46" s="16">
        <f>IFERROR(INDEX('12_字段字典'!$J:$J,MATCH($B46,'12_字段字典'!$B:$B,0)),"")</f>
        <v/>
      </c>
      <c r="R46" s="16">
        <f>IFERROR(INDEX('12_字段字典'!$K:$K,MATCH($B46,'12_字段字典'!$B:$B,0)),"")</f>
        <v/>
      </c>
      <c r="S46" s="16">
        <f>IFERROR(INDEX('12_字段字典'!$L:$L,MATCH($B46,'12_字段字典'!$B:$B,0)),"")</f>
        <v/>
      </c>
      <c r="T46" s="16">
        <f>IFERROR(INDEX('12_字段字典'!$M:$M,MATCH($B46,'12_字段字典'!$B:$B,0)),"")</f>
        <v/>
      </c>
    </row>
    <row r="47" ht="27" customHeight="1" s="30">
      <c r="A47" s="2" t="inlineStr">
        <is>
          <t>C. 材料用量</t>
        </is>
      </c>
      <c r="B47" s="2" t="inlineStr">
        <is>
          <t>anode_mass_kg</t>
        </is>
      </c>
      <c r="C47" s="2" t="inlineStr">
        <is>
          <t>负极材料质量</t>
        </is>
      </c>
      <c r="D47" s="2" t="inlineStr">
        <is>
          <t>anode mass</t>
        </is>
      </c>
      <c r="E47" s="2" t="inlineStr">
        <is>
          <t>kg/declared unit</t>
        </is>
      </c>
      <c r="F47" s="3" t="n">
        <v>70</v>
      </c>
      <c r="G47" s="18" t="n">
        <v>70</v>
      </c>
      <c r="H47" s="2" t="inlineStr">
        <is>
          <t>按当前申报单元填报，而不是默认按单个电池包填报</t>
        </is>
      </c>
      <c r="I47" s="2" t="inlineStr">
        <is>
          <t>BOM</t>
        </is>
      </c>
      <c r="J47" s="2" t="inlineStr">
        <is>
          <t>EU</t>
        </is>
      </c>
      <c r="K47" s="16">
        <f>IFERROR(INDEX('12_字段字典'!$D:$D,MATCH($B47,'12_字段字典'!$B:$B,0)),"")</f>
        <v/>
      </c>
      <c r="L47" s="16">
        <f>IFERROR(INDEX('12_字段字典'!$E:$E,MATCH($B47,'12_字段字典'!$B:$B,0)),"")</f>
        <v/>
      </c>
      <c r="M47" s="16">
        <f>IFERROR(INDEX('12_字段字典'!$F:$F,MATCH($B47,'12_字段字典'!$B:$B,0)),"")</f>
        <v/>
      </c>
      <c r="N47" s="16">
        <f>IFERROR(INDEX('12_字段字典'!$G:$G,MATCH($B47,'12_字段字典'!$B:$B,0)),"")</f>
        <v/>
      </c>
      <c r="O47" s="16">
        <f>IFERROR(INDEX('12_字段字典'!$H:$H,MATCH($B47,'12_字段字典'!$B:$B,0)),"")</f>
        <v/>
      </c>
      <c r="P47" s="16">
        <f>IFERROR(INDEX('12_字段字典'!$I:$I,MATCH($B47,'12_字段字典'!$B:$B,0)),"")</f>
        <v/>
      </c>
      <c r="Q47" s="16">
        <f>IFERROR(INDEX('12_字段字典'!$J:$J,MATCH($B47,'12_字段字典'!$B:$B,0)),"")</f>
        <v/>
      </c>
      <c r="R47" s="16">
        <f>IFERROR(INDEX('12_字段字典'!$K:$K,MATCH($B47,'12_字段字典'!$B:$B,0)),"")</f>
        <v/>
      </c>
      <c r="S47" s="16">
        <f>IFERROR(INDEX('12_字段字典'!$L:$L,MATCH($B47,'12_字段字典'!$B:$B,0)),"")</f>
        <v/>
      </c>
      <c r="T47" s="16">
        <f>IFERROR(INDEX('12_字段字典'!$M:$M,MATCH($B47,'12_字段字典'!$B:$B,0)),"")</f>
        <v/>
      </c>
    </row>
    <row r="48" ht="27" customHeight="1" s="30">
      <c r="A48" s="2" t="inlineStr">
        <is>
          <t>C. 材料用量</t>
        </is>
      </c>
      <c r="B48" s="2" t="inlineStr">
        <is>
          <t>electrolyte_mass_kg</t>
        </is>
      </c>
      <c r="C48" s="2" t="inlineStr">
        <is>
          <t>电解液质量</t>
        </is>
      </c>
      <c r="D48" s="2" t="inlineStr">
        <is>
          <t>electrolyte mass</t>
        </is>
      </c>
      <c r="E48" s="2" t="inlineStr">
        <is>
          <t>kg/declared unit</t>
        </is>
      </c>
      <c r="F48" s="3" t="n">
        <v>35</v>
      </c>
      <c r="G48" s="18" t="n">
        <v>35</v>
      </c>
      <c r="H48" s="2" t="inlineStr">
        <is>
          <t>按当前申报单元填报，而不是默认按单个电池包填报</t>
        </is>
      </c>
      <c r="I48" s="2" t="inlineStr">
        <is>
          <t>BOM</t>
        </is>
      </c>
      <c r="J48" s="2" t="inlineStr">
        <is>
          <t>EU</t>
        </is>
      </c>
      <c r="K48" s="16">
        <f>IFERROR(INDEX('12_字段字典'!$D:$D,MATCH($B48,'12_字段字典'!$B:$B,0)),"")</f>
        <v/>
      </c>
      <c r="L48" s="16">
        <f>IFERROR(INDEX('12_字段字典'!$E:$E,MATCH($B48,'12_字段字典'!$B:$B,0)),"")</f>
        <v/>
      </c>
      <c r="M48" s="16">
        <f>IFERROR(INDEX('12_字段字典'!$F:$F,MATCH($B48,'12_字段字典'!$B:$B,0)),"")</f>
        <v/>
      </c>
      <c r="N48" s="16">
        <f>IFERROR(INDEX('12_字段字典'!$G:$G,MATCH($B48,'12_字段字典'!$B:$B,0)),"")</f>
        <v/>
      </c>
      <c r="O48" s="16">
        <f>IFERROR(INDEX('12_字段字典'!$H:$H,MATCH($B48,'12_字段字典'!$B:$B,0)),"")</f>
        <v/>
      </c>
      <c r="P48" s="16">
        <f>IFERROR(INDEX('12_字段字典'!$I:$I,MATCH($B48,'12_字段字典'!$B:$B,0)),"")</f>
        <v/>
      </c>
      <c r="Q48" s="16">
        <f>IFERROR(INDEX('12_字段字典'!$J:$J,MATCH($B48,'12_字段字典'!$B:$B,0)),"")</f>
        <v/>
      </c>
      <c r="R48" s="16">
        <f>IFERROR(INDEX('12_字段字典'!$K:$K,MATCH($B48,'12_字段字典'!$B:$B,0)),"")</f>
        <v/>
      </c>
      <c r="S48" s="16">
        <f>IFERROR(INDEX('12_字段字典'!$L:$L,MATCH($B48,'12_字段字典'!$B:$B,0)),"")</f>
        <v/>
      </c>
      <c r="T48" s="16">
        <f>IFERROR(INDEX('12_字段字典'!$M:$M,MATCH($B48,'12_字段字典'!$B:$B,0)),"")</f>
        <v/>
      </c>
    </row>
    <row r="49" ht="27" customHeight="1" s="30">
      <c r="A49" s="2" t="inlineStr">
        <is>
          <t>C. 材料用量</t>
        </is>
      </c>
      <c r="B49" s="2" t="inlineStr">
        <is>
          <t>separator_mass_kg</t>
        </is>
      </c>
      <c r="C49" s="2" t="inlineStr">
        <is>
          <t>隔膜质量</t>
        </is>
      </c>
      <c r="D49" s="2" t="inlineStr">
        <is>
          <t>separator mass</t>
        </is>
      </c>
      <c r="E49" s="2" t="inlineStr">
        <is>
          <t>kg/declared unit</t>
        </is>
      </c>
      <c r="F49" s="3" t="n">
        <v>12</v>
      </c>
      <c r="G49" s="18" t="n">
        <v>12</v>
      </c>
      <c r="H49" s="2" t="inlineStr">
        <is>
          <t>按当前申报单元填报，而不是默认按单个电池包填报</t>
        </is>
      </c>
      <c r="I49" s="2" t="inlineStr">
        <is>
          <t>BOM</t>
        </is>
      </c>
      <c r="J49" s="2" t="inlineStr">
        <is>
          <t>EU</t>
        </is>
      </c>
      <c r="K49" s="16">
        <f>IFERROR(INDEX('12_字段字典'!$D:$D,MATCH($B49,'12_字段字典'!$B:$B,0)),"")</f>
        <v/>
      </c>
      <c r="L49" s="16">
        <f>IFERROR(INDEX('12_字段字典'!$E:$E,MATCH($B49,'12_字段字典'!$B:$B,0)),"")</f>
        <v/>
      </c>
      <c r="M49" s="16">
        <f>IFERROR(INDEX('12_字段字典'!$F:$F,MATCH($B49,'12_字段字典'!$B:$B,0)),"")</f>
        <v/>
      </c>
      <c r="N49" s="16">
        <f>IFERROR(INDEX('12_字段字典'!$G:$G,MATCH($B49,'12_字段字典'!$B:$B,0)),"")</f>
        <v/>
      </c>
      <c r="O49" s="16">
        <f>IFERROR(INDEX('12_字段字典'!$H:$H,MATCH($B49,'12_字段字典'!$B:$B,0)),"")</f>
        <v/>
      </c>
      <c r="P49" s="16">
        <f>IFERROR(INDEX('12_字段字典'!$I:$I,MATCH($B49,'12_字段字典'!$B:$B,0)),"")</f>
        <v/>
      </c>
      <c r="Q49" s="16">
        <f>IFERROR(INDEX('12_字段字典'!$J:$J,MATCH($B49,'12_字段字典'!$B:$B,0)),"")</f>
        <v/>
      </c>
      <c r="R49" s="16">
        <f>IFERROR(INDEX('12_字段字典'!$K:$K,MATCH($B49,'12_字段字典'!$B:$B,0)),"")</f>
        <v/>
      </c>
      <c r="S49" s="16">
        <f>IFERROR(INDEX('12_字段字典'!$L:$L,MATCH($B49,'12_字段字典'!$B:$B,0)),"")</f>
        <v/>
      </c>
      <c r="T49" s="16">
        <f>IFERROR(INDEX('12_字段字典'!$M:$M,MATCH($B49,'12_字段字典'!$B:$B,0)),"")</f>
        <v/>
      </c>
    </row>
    <row r="50" ht="27" customHeight="1" s="30">
      <c r="A50" s="2" t="inlineStr">
        <is>
          <t>C. 材料用量</t>
        </is>
      </c>
      <c r="B50" s="2" t="inlineStr">
        <is>
          <t>copper_mass_kg</t>
        </is>
      </c>
      <c r="C50" s="2" t="inlineStr">
        <is>
          <t>铜材质量</t>
        </is>
      </c>
      <c r="D50" s="2" t="inlineStr">
        <is>
          <t>copper mass</t>
        </is>
      </c>
      <c r="E50" s="2" t="inlineStr">
        <is>
          <t>kg/declared unit</t>
        </is>
      </c>
      <c r="F50" s="3" t="n">
        <v>50</v>
      </c>
      <c r="G50" s="18" t="n">
        <v>50</v>
      </c>
      <c r="H50" s="2" t="inlineStr">
        <is>
          <t>按当前申报单元填报，而不是默认按单个电池包填报</t>
        </is>
      </c>
      <c r="I50" s="2" t="inlineStr">
        <is>
          <t>BOM</t>
        </is>
      </c>
      <c r="J50" s="2" t="inlineStr">
        <is>
          <t>EU</t>
        </is>
      </c>
      <c r="K50" s="16">
        <f>IFERROR(INDEX('12_字段字典'!$D:$D,MATCH($B50,'12_字段字典'!$B:$B,0)),"")</f>
        <v/>
      </c>
      <c r="L50" s="16">
        <f>IFERROR(INDEX('12_字段字典'!$E:$E,MATCH($B50,'12_字段字典'!$B:$B,0)),"")</f>
        <v/>
      </c>
      <c r="M50" s="16">
        <f>IFERROR(INDEX('12_字段字典'!$F:$F,MATCH($B50,'12_字段字典'!$B:$B,0)),"")</f>
        <v/>
      </c>
      <c r="N50" s="16">
        <f>IFERROR(INDEX('12_字段字典'!$G:$G,MATCH($B50,'12_字段字典'!$B:$B,0)),"")</f>
        <v/>
      </c>
      <c r="O50" s="16">
        <f>IFERROR(INDEX('12_字段字典'!$H:$H,MATCH($B50,'12_字段字典'!$B:$B,0)),"")</f>
        <v/>
      </c>
      <c r="P50" s="16">
        <f>IFERROR(INDEX('12_字段字典'!$I:$I,MATCH($B50,'12_字段字典'!$B:$B,0)),"")</f>
        <v/>
      </c>
      <c r="Q50" s="16">
        <f>IFERROR(INDEX('12_字段字典'!$J:$J,MATCH($B50,'12_字段字典'!$B:$B,0)),"")</f>
        <v/>
      </c>
      <c r="R50" s="16">
        <f>IFERROR(INDEX('12_字段字典'!$K:$K,MATCH($B50,'12_字段字典'!$B:$B,0)),"")</f>
        <v/>
      </c>
      <c r="S50" s="16">
        <f>IFERROR(INDEX('12_字段字典'!$L:$L,MATCH($B50,'12_字段字典'!$B:$B,0)),"")</f>
        <v/>
      </c>
      <c r="T50" s="16">
        <f>IFERROR(INDEX('12_字段字典'!$M:$M,MATCH($B50,'12_字段字典'!$B:$B,0)),"")</f>
        <v/>
      </c>
    </row>
    <row r="51" ht="27" customHeight="1" s="30">
      <c r="A51" s="2" t="inlineStr">
        <is>
          <t>C. 材料用量</t>
        </is>
      </c>
      <c r="B51" s="2" t="inlineStr">
        <is>
          <t>aluminium_mass_kg</t>
        </is>
      </c>
      <c r="C51" s="2" t="inlineStr">
        <is>
          <t>铝材质量</t>
        </is>
      </c>
      <c r="D51" s="2" t="inlineStr">
        <is>
          <t>aluminium mass</t>
        </is>
      </c>
      <c r="E51" s="2" t="inlineStr">
        <is>
          <t>kg/declared unit</t>
        </is>
      </c>
      <c r="F51" s="3" t="n">
        <v>80</v>
      </c>
      <c r="G51" s="18" t="n">
        <v>80</v>
      </c>
      <c r="H51" s="2" t="inlineStr">
        <is>
          <t>按当前申报单元填报，而不是默认按单个电池包填报</t>
        </is>
      </c>
      <c r="I51" s="2" t="inlineStr">
        <is>
          <t>BOM</t>
        </is>
      </c>
      <c r="J51" s="2" t="inlineStr">
        <is>
          <t>EU+CBAM</t>
        </is>
      </c>
      <c r="K51" s="16">
        <f>IFERROR(INDEX('12_字段字典'!$D:$D,MATCH($B51,'12_字段字典'!$B:$B,0)),"")</f>
        <v/>
      </c>
      <c r="L51" s="16">
        <f>IFERROR(INDEX('12_字段字典'!$E:$E,MATCH($B51,'12_字段字典'!$B:$B,0)),"")</f>
        <v/>
      </c>
      <c r="M51" s="16">
        <f>IFERROR(INDEX('12_字段字典'!$F:$F,MATCH($B51,'12_字段字典'!$B:$B,0)),"")</f>
        <v/>
      </c>
      <c r="N51" s="16">
        <f>IFERROR(INDEX('12_字段字典'!$G:$G,MATCH($B51,'12_字段字典'!$B:$B,0)),"")</f>
        <v/>
      </c>
      <c r="O51" s="16">
        <f>IFERROR(INDEX('12_字段字典'!$H:$H,MATCH($B51,'12_字段字典'!$B:$B,0)),"")</f>
        <v/>
      </c>
      <c r="P51" s="16">
        <f>IFERROR(INDEX('12_字段字典'!$I:$I,MATCH($B51,'12_字段字典'!$B:$B,0)),"")</f>
        <v/>
      </c>
      <c r="Q51" s="16">
        <f>IFERROR(INDEX('12_字段字典'!$J:$J,MATCH($B51,'12_字段字典'!$B:$B,0)),"")</f>
        <v/>
      </c>
      <c r="R51" s="16">
        <f>IFERROR(INDEX('12_字段字典'!$K:$K,MATCH($B51,'12_字段字典'!$B:$B,0)),"")</f>
        <v/>
      </c>
      <c r="S51" s="16">
        <f>IFERROR(INDEX('12_字段字典'!$L:$L,MATCH($B51,'12_字段字典'!$B:$B,0)),"")</f>
        <v/>
      </c>
      <c r="T51" s="16">
        <f>IFERROR(INDEX('12_字段字典'!$M:$M,MATCH($B51,'12_字段字典'!$B:$B,0)),"")</f>
        <v/>
      </c>
    </row>
    <row r="52" ht="27" customHeight="1" s="30">
      <c r="A52" s="2" t="inlineStr">
        <is>
          <t>C. 材料用量</t>
        </is>
      </c>
      <c r="B52" s="2" t="inlineStr">
        <is>
          <t>steel_mass_kg</t>
        </is>
      </c>
      <c r="C52" s="2" t="inlineStr">
        <is>
          <t>钢材质量</t>
        </is>
      </c>
      <c r="D52" s="2" t="inlineStr">
        <is>
          <t>steel mass</t>
        </is>
      </c>
      <c r="E52" s="2" t="inlineStr">
        <is>
          <t>kg/declared unit</t>
        </is>
      </c>
      <c r="F52" s="3" t="n">
        <v>30</v>
      </c>
      <c r="G52" s="18" t="n">
        <v>30</v>
      </c>
      <c r="H52" s="2" t="inlineStr">
        <is>
          <t>按当前申报单元填报，而不是默认按单个电池包填报</t>
        </is>
      </c>
      <c r="I52" s="2" t="inlineStr">
        <is>
          <t>BOM</t>
        </is>
      </c>
      <c r="J52" s="2" t="inlineStr">
        <is>
          <t>EU+CBAM</t>
        </is>
      </c>
      <c r="K52" s="16">
        <f>IFERROR(INDEX('12_字段字典'!$D:$D,MATCH($B52,'12_字段字典'!$B:$B,0)),"")</f>
        <v/>
      </c>
      <c r="L52" s="16">
        <f>IFERROR(INDEX('12_字段字典'!$E:$E,MATCH($B52,'12_字段字典'!$B:$B,0)),"")</f>
        <v/>
      </c>
      <c r="M52" s="16">
        <f>IFERROR(INDEX('12_字段字典'!$F:$F,MATCH($B52,'12_字段字典'!$B:$B,0)),"")</f>
        <v/>
      </c>
      <c r="N52" s="16">
        <f>IFERROR(INDEX('12_字段字典'!$G:$G,MATCH($B52,'12_字段字典'!$B:$B,0)),"")</f>
        <v/>
      </c>
      <c r="O52" s="16">
        <f>IFERROR(INDEX('12_字段字典'!$H:$H,MATCH($B52,'12_字段字典'!$B:$B,0)),"")</f>
        <v/>
      </c>
      <c r="P52" s="16">
        <f>IFERROR(INDEX('12_字段字典'!$I:$I,MATCH($B52,'12_字段字典'!$B:$B,0)),"")</f>
        <v/>
      </c>
      <c r="Q52" s="16">
        <f>IFERROR(INDEX('12_字段字典'!$J:$J,MATCH($B52,'12_字段字典'!$B:$B,0)),"")</f>
        <v/>
      </c>
      <c r="R52" s="16">
        <f>IFERROR(INDEX('12_字段字典'!$K:$K,MATCH($B52,'12_字段字典'!$B:$B,0)),"")</f>
        <v/>
      </c>
      <c r="S52" s="16">
        <f>IFERROR(INDEX('12_字段字典'!$L:$L,MATCH($B52,'12_字段字典'!$B:$B,0)),"")</f>
        <v/>
      </c>
      <c r="T52" s="16">
        <f>IFERROR(INDEX('12_字段字典'!$M:$M,MATCH($B52,'12_字段字典'!$B:$B,0)),"")</f>
        <v/>
      </c>
    </row>
    <row r="53" ht="27" customHeight="1" s="30">
      <c r="A53" s="2" t="inlineStr">
        <is>
          <t>C. 材料用量</t>
        </is>
      </c>
      <c r="B53" s="2" t="inlineStr">
        <is>
          <t>plastic_mass_kg</t>
        </is>
      </c>
      <c r="C53" s="2" t="inlineStr">
        <is>
          <t>塑料件质量</t>
        </is>
      </c>
      <c r="D53" s="2" t="inlineStr">
        <is>
          <t>plastic mass</t>
        </is>
      </c>
      <c r="E53" s="2" t="inlineStr">
        <is>
          <t>kg/declared unit</t>
        </is>
      </c>
      <c r="F53" s="3" t="n">
        <v>25</v>
      </c>
      <c r="G53" s="18" t="n">
        <v>25</v>
      </c>
      <c r="H53" s="2" t="inlineStr">
        <is>
          <t>按当前申报单元填报，而不是默认按单个电池包填报</t>
        </is>
      </c>
      <c r="I53" s="2" t="inlineStr">
        <is>
          <t>BOM</t>
        </is>
      </c>
      <c r="J53" s="2" t="inlineStr">
        <is>
          <t>EU</t>
        </is>
      </c>
      <c r="K53" s="16">
        <f>IFERROR(INDEX('12_字段字典'!$D:$D,MATCH($B53,'12_字段字典'!$B:$B,0)),"")</f>
        <v/>
      </c>
      <c r="L53" s="16">
        <f>IFERROR(INDEX('12_字段字典'!$E:$E,MATCH($B53,'12_字段字典'!$B:$B,0)),"")</f>
        <v/>
      </c>
      <c r="M53" s="16">
        <f>IFERROR(INDEX('12_字段字典'!$F:$F,MATCH($B53,'12_字段字典'!$B:$B,0)),"")</f>
        <v/>
      </c>
      <c r="N53" s="16">
        <f>IFERROR(INDEX('12_字段字典'!$G:$G,MATCH($B53,'12_字段字典'!$B:$B,0)),"")</f>
        <v/>
      </c>
      <c r="O53" s="16">
        <f>IFERROR(INDEX('12_字段字典'!$H:$H,MATCH($B53,'12_字段字典'!$B:$B,0)),"")</f>
        <v/>
      </c>
      <c r="P53" s="16">
        <f>IFERROR(INDEX('12_字段字典'!$I:$I,MATCH($B53,'12_字段字典'!$B:$B,0)),"")</f>
        <v/>
      </c>
      <c r="Q53" s="16">
        <f>IFERROR(INDEX('12_字段字典'!$J:$J,MATCH($B53,'12_字段字典'!$B:$B,0)),"")</f>
        <v/>
      </c>
      <c r="R53" s="16">
        <f>IFERROR(INDEX('12_字段字典'!$K:$K,MATCH($B53,'12_字段字典'!$B:$B,0)),"")</f>
        <v/>
      </c>
      <c r="S53" s="16">
        <f>IFERROR(INDEX('12_字段字典'!$L:$L,MATCH($B53,'12_字段字典'!$B:$B,0)),"")</f>
        <v/>
      </c>
      <c r="T53" s="16">
        <f>IFERROR(INDEX('12_字段字典'!$M:$M,MATCH($B53,'12_字段字典'!$B:$B,0)),"")</f>
        <v/>
      </c>
    </row>
    <row r="54" ht="27" customHeight="1" s="30">
      <c r="A54" s="2" t="inlineStr">
        <is>
          <t>C. 材料用量</t>
        </is>
      </c>
      <c r="B54" s="2" t="inlineStr">
        <is>
          <t>other_material_mass_kg</t>
        </is>
      </c>
      <c r="C54" s="2" t="inlineStr">
        <is>
          <t>其他材料质量</t>
        </is>
      </c>
      <c r="D54" s="2" t="inlineStr">
        <is>
          <t>other material mass</t>
        </is>
      </c>
      <c r="E54" s="2" t="inlineStr">
        <is>
          <t>kg/declared unit</t>
        </is>
      </c>
      <c r="F54" s="3" t="n">
        <v>100</v>
      </c>
      <c r="G54" s="18" t="n">
        <v>100</v>
      </c>
      <c r="H54" s="2" t="inlineStr">
        <is>
          <t>按当前申报单元填报，而不是默认按单个电池包填报</t>
        </is>
      </c>
      <c r="I54" s="2" t="inlineStr">
        <is>
          <t>BOM</t>
        </is>
      </c>
      <c r="J54" s="2" t="inlineStr">
        <is>
          <t>EU</t>
        </is>
      </c>
      <c r="K54" s="16">
        <f>IFERROR(INDEX('12_字段字典'!$D:$D,MATCH($B54,'12_字段字典'!$B:$B,0)),"")</f>
        <v/>
      </c>
      <c r="L54" s="16">
        <f>IFERROR(INDEX('12_字段字典'!$E:$E,MATCH($B54,'12_字段字典'!$B:$B,0)),"")</f>
        <v/>
      </c>
      <c r="M54" s="16">
        <f>IFERROR(INDEX('12_字段字典'!$F:$F,MATCH($B54,'12_字段字典'!$B:$B,0)),"")</f>
        <v/>
      </c>
      <c r="N54" s="16">
        <f>IFERROR(INDEX('12_字段字典'!$G:$G,MATCH($B54,'12_字段字典'!$B:$B,0)),"")</f>
        <v/>
      </c>
      <c r="O54" s="16">
        <f>IFERROR(INDEX('12_字段字典'!$H:$H,MATCH($B54,'12_字段字典'!$B:$B,0)),"")</f>
        <v/>
      </c>
      <c r="P54" s="16">
        <f>IFERROR(INDEX('12_字段字典'!$I:$I,MATCH($B54,'12_字段字典'!$B:$B,0)),"")</f>
        <v/>
      </c>
      <c r="Q54" s="16">
        <f>IFERROR(INDEX('12_字段字典'!$J:$J,MATCH($B54,'12_字段字典'!$B:$B,0)),"")</f>
        <v/>
      </c>
      <c r="R54" s="16">
        <f>IFERROR(INDEX('12_字段字典'!$K:$K,MATCH($B54,'12_字段字典'!$B:$B,0)),"")</f>
        <v/>
      </c>
      <c r="S54" s="16">
        <f>IFERROR(INDEX('12_字段字典'!$L:$L,MATCH($B54,'12_字段字典'!$B:$B,0)),"")</f>
        <v/>
      </c>
      <c r="T54" s="16">
        <f>IFERROR(INDEX('12_字段字典'!$M:$M,MATCH($B54,'12_字段字典'!$B:$B,0)),"")</f>
        <v/>
      </c>
    </row>
    <row r="55" ht="27" customHeight="1" s="30">
      <c r="A55" s="2" t="inlineStr">
        <is>
          <t>D. 材料排放因子</t>
        </is>
      </c>
      <c r="B55" s="2" t="inlineStr">
        <is>
          <t>cathode_pcf</t>
        </is>
      </c>
      <c r="C55" s="2" t="inlineStr">
        <is>
          <t>正极材料排放因子</t>
        </is>
      </c>
      <c r="D55" s="2" t="inlineStr">
        <is>
          <t>cathode PCF</t>
        </is>
      </c>
      <c r="E55" s="2" t="inlineStr">
        <is>
          <t>kgCO2e/kg</t>
        </is>
      </c>
      <c r="F55" s="3" t="n">
        <v>5</v>
      </c>
      <c r="G55" s="18" t="n">
        <v>5</v>
      </c>
      <c r="H55" s="2" t="inlineStr">
        <is>
          <t>供应商 PCF 或行业因子</t>
        </is>
      </c>
      <c r="I55" s="2" t="inlineStr">
        <is>
          <t>供应商 PCF / 因子库</t>
        </is>
      </c>
      <c r="J55" s="2" t="inlineStr">
        <is>
          <t>EU</t>
        </is>
      </c>
      <c r="K55" s="16">
        <f>IFERROR(INDEX('12_字段字典'!$D:$D,MATCH($B55,'12_字段字典'!$B:$B,0)),"")</f>
        <v/>
      </c>
      <c r="L55" s="16">
        <f>IFERROR(INDEX('12_字段字典'!$E:$E,MATCH($B55,'12_字段字典'!$B:$B,0)),"")</f>
        <v/>
      </c>
      <c r="M55" s="16">
        <f>IFERROR(INDEX('12_字段字典'!$F:$F,MATCH($B55,'12_字段字典'!$B:$B,0)),"")</f>
        <v/>
      </c>
      <c r="N55" s="16">
        <f>IFERROR(INDEX('12_字段字典'!$G:$G,MATCH($B55,'12_字段字典'!$B:$B,0)),"")</f>
        <v/>
      </c>
      <c r="O55" s="16">
        <f>IFERROR(INDEX('12_字段字典'!$H:$H,MATCH($B55,'12_字段字典'!$B:$B,0)),"")</f>
        <v/>
      </c>
      <c r="P55" s="16">
        <f>IFERROR(INDEX('12_字段字典'!$I:$I,MATCH($B55,'12_字段字典'!$B:$B,0)),"")</f>
        <v/>
      </c>
      <c r="Q55" s="16">
        <f>IFERROR(INDEX('12_字段字典'!$J:$J,MATCH($B55,'12_字段字典'!$B:$B,0)),"")</f>
        <v/>
      </c>
      <c r="R55" s="16">
        <f>IFERROR(INDEX('12_字段字典'!$K:$K,MATCH($B55,'12_字段字典'!$B:$B,0)),"")</f>
        <v/>
      </c>
      <c r="S55" s="16">
        <f>IFERROR(INDEX('12_字段字典'!$L:$L,MATCH($B55,'12_字段字典'!$B:$B,0)),"")</f>
        <v/>
      </c>
      <c r="T55" s="16">
        <f>IFERROR(INDEX('12_字段字典'!$M:$M,MATCH($B55,'12_字段字典'!$B:$B,0)),"")</f>
        <v/>
      </c>
    </row>
    <row r="56" ht="27" customHeight="1" s="30">
      <c r="A56" s="2" t="inlineStr">
        <is>
          <t>D. 材料排放因子</t>
        </is>
      </c>
      <c r="B56" s="2" t="inlineStr">
        <is>
          <t>anode_pcf</t>
        </is>
      </c>
      <c r="C56" s="2" t="inlineStr">
        <is>
          <t>负极材料排放因子</t>
        </is>
      </c>
      <c r="D56" s="2" t="inlineStr">
        <is>
          <t>anode PCF</t>
        </is>
      </c>
      <c r="E56" s="2" t="inlineStr">
        <is>
          <t>kgCO2e/kg</t>
        </is>
      </c>
      <c r="F56" s="3" t="n">
        <v>6.5</v>
      </c>
      <c r="G56" s="18" t="n">
        <v>6.5</v>
      </c>
      <c r="H56" s="2" t="inlineStr">
        <is>
          <t>供应商 PCF 或行业因子</t>
        </is>
      </c>
      <c r="I56" s="2" t="inlineStr">
        <is>
          <t>供应商 PCF / 因子库</t>
        </is>
      </c>
      <c r="J56" s="2" t="inlineStr">
        <is>
          <t>EU</t>
        </is>
      </c>
      <c r="K56" s="16">
        <f>IFERROR(INDEX('12_字段字典'!$D:$D,MATCH($B56,'12_字段字典'!$B:$B,0)),"")</f>
        <v/>
      </c>
      <c r="L56" s="16">
        <f>IFERROR(INDEX('12_字段字典'!$E:$E,MATCH($B56,'12_字段字典'!$B:$B,0)),"")</f>
        <v/>
      </c>
      <c r="M56" s="16">
        <f>IFERROR(INDEX('12_字段字典'!$F:$F,MATCH($B56,'12_字段字典'!$B:$B,0)),"")</f>
        <v/>
      </c>
      <c r="N56" s="16">
        <f>IFERROR(INDEX('12_字段字典'!$G:$G,MATCH($B56,'12_字段字典'!$B:$B,0)),"")</f>
        <v/>
      </c>
      <c r="O56" s="16">
        <f>IFERROR(INDEX('12_字段字典'!$H:$H,MATCH($B56,'12_字段字典'!$B:$B,0)),"")</f>
        <v/>
      </c>
      <c r="P56" s="16">
        <f>IFERROR(INDEX('12_字段字典'!$I:$I,MATCH($B56,'12_字段字典'!$B:$B,0)),"")</f>
        <v/>
      </c>
      <c r="Q56" s="16">
        <f>IFERROR(INDEX('12_字段字典'!$J:$J,MATCH($B56,'12_字段字典'!$B:$B,0)),"")</f>
        <v/>
      </c>
      <c r="R56" s="16">
        <f>IFERROR(INDEX('12_字段字典'!$K:$K,MATCH($B56,'12_字段字典'!$B:$B,0)),"")</f>
        <v/>
      </c>
      <c r="S56" s="16">
        <f>IFERROR(INDEX('12_字段字典'!$L:$L,MATCH($B56,'12_字段字典'!$B:$B,0)),"")</f>
        <v/>
      </c>
      <c r="T56" s="16">
        <f>IFERROR(INDEX('12_字段字典'!$M:$M,MATCH($B56,'12_字段字典'!$B:$B,0)),"")</f>
        <v/>
      </c>
    </row>
    <row r="57" ht="27" customHeight="1" s="30">
      <c r="A57" s="2" t="inlineStr">
        <is>
          <t>D. 材料排放因子</t>
        </is>
      </c>
      <c r="B57" s="2" t="inlineStr">
        <is>
          <t>electrolyte_pcf</t>
        </is>
      </c>
      <c r="C57" s="2" t="inlineStr">
        <is>
          <t>电解液排放因子</t>
        </is>
      </c>
      <c r="D57" s="2" t="inlineStr">
        <is>
          <t>electrolyte PCF</t>
        </is>
      </c>
      <c r="E57" s="2" t="inlineStr">
        <is>
          <t>kgCO2e/kg</t>
        </is>
      </c>
      <c r="F57" s="3" t="n">
        <v>8</v>
      </c>
      <c r="G57" s="18" t="n">
        <v>8</v>
      </c>
      <c r="H57" s="2" t="inlineStr">
        <is>
          <t>供应商 PCF 或行业因子</t>
        </is>
      </c>
      <c r="I57" s="2" t="inlineStr">
        <is>
          <t>供应商 PCF / 因子库</t>
        </is>
      </c>
      <c r="J57" s="2" t="inlineStr">
        <is>
          <t>EU</t>
        </is>
      </c>
      <c r="K57" s="16">
        <f>IFERROR(INDEX('12_字段字典'!$D:$D,MATCH($B57,'12_字段字典'!$B:$B,0)),"")</f>
        <v/>
      </c>
      <c r="L57" s="16">
        <f>IFERROR(INDEX('12_字段字典'!$E:$E,MATCH($B57,'12_字段字典'!$B:$B,0)),"")</f>
        <v/>
      </c>
      <c r="M57" s="16">
        <f>IFERROR(INDEX('12_字段字典'!$F:$F,MATCH($B57,'12_字段字典'!$B:$B,0)),"")</f>
        <v/>
      </c>
      <c r="N57" s="16">
        <f>IFERROR(INDEX('12_字段字典'!$G:$G,MATCH($B57,'12_字段字典'!$B:$B,0)),"")</f>
        <v/>
      </c>
      <c r="O57" s="16">
        <f>IFERROR(INDEX('12_字段字典'!$H:$H,MATCH($B57,'12_字段字典'!$B:$B,0)),"")</f>
        <v/>
      </c>
      <c r="P57" s="16">
        <f>IFERROR(INDEX('12_字段字典'!$I:$I,MATCH($B57,'12_字段字典'!$B:$B,0)),"")</f>
        <v/>
      </c>
      <c r="Q57" s="16">
        <f>IFERROR(INDEX('12_字段字典'!$J:$J,MATCH($B57,'12_字段字典'!$B:$B,0)),"")</f>
        <v/>
      </c>
      <c r="R57" s="16">
        <f>IFERROR(INDEX('12_字段字典'!$K:$K,MATCH($B57,'12_字段字典'!$B:$B,0)),"")</f>
        <v/>
      </c>
      <c r="S57" s="16">
        <f>IFERROR(INDEX('12_字段字典'!$L:$L,MATCH($B57,'12_字段字典'!$B:$B,0)),"")</f>
        <v/>
      </c>
      <c r="T57" s="16">
        <f>IFERROR(INDEX('12_字段字典'!$M:$M,MATCH($B57,'12_字段字典'!$B:$B,0)),"")</f>
        <v/>
      </c>
    </row>
    <row r="58" ht="27" customHeight="1" s="30">
      <c r="A58" s="2" t="inlineStr">
        <is>
          <t>D. 材料排放因子</t>
        </is>
      </c>
      <c r="B58" s="2" t="inlineStr">
        <is>
          <t>separator_pcf</t>
        </is>
      </c>
      <c r="C58" s="2" t="inlineStr">
        <is>
          <t>隔膜排放因子</t>
        </is>
      </c>
      <c r="D58" s="2" t="inlineStr">
        <is>
          <t>separator PCF</t>
        </is>
      </c>
      <c r="E58" s="2" t="inlineStr">
        <is>
          <t>kgCO2e/kg</t>
        </is>
      </c>
      <c r="F58" s="3" t="n">
        <v>4.5</v>
      </c>
      <c r="G58" s="18" t="n">
        <v>4.5</v>
      </c>
      <c r="H58" s="2" t="inlineStr">
        <is>
          <t>供应商 PCF 或行业因子</t>
        </is>
      </c>
      <c r="I58" s="2" t="inlineStr">
        <is>
          <t>供应商 PCF / 因子库</t>
        </is>
      </c>
      <c r="J58" s="2" t="inlineStr">
        <is>
          <t>EU</t>
        </is>
      </c>
      <c r="K58" s="16">
        <f>IFERROR(INDEX('12_字段字典'!$D:$D,MATCH($B58,'12_字段字典'!$B:$B,0)),"")</f>
        <v/>
      </c>
      <c r="L58" s="16">
        <f>IFERROR(INDEX('12_字段字典'!$E:$E,MATCH($B58,'12_字段字典'!$B:$B,0)),"")</f>
        <v/>
      </c>
      <c r="M58" s="16">
        <f>IFERROR(INDEX('12_字段字典'!$F:$F,MATCH($B58,'12_字段字典'!$B:$B,0)),"")</f>
        <v/>
      </c>
      <c r="N58" s="16">
        <f>IFERROR(INDEX('12_字段字典'!$G:$G,MATCH($B58,'12_字段字典'!$B:$B,0)),"")</f>
        <v/>
      </c>
      <c r="O58" s="16">
        <f>IFERROR(INDEX('12_字段字典'!$H:$H,MATCH($B58,'12_字段字典'!$B:$B,0)),"")</f>
        <v/>
      </c>
      <c r="P58" s="16">
        <f>IFERROR(INDEX('12_字段字典'!$I:$I,MATCH($B58,'12_字段字典'!$B:$B,0)),"")</f>
        <v/>
      </c>
      <c r="Q58" s="16">
        <f>IFERROR(INDEX('12_字段字典'!$J:$J,MATCH($B58,'12_字段字典'!$B:$B,0)),"")</f>
        <v/>
      </c>
      <c r="R58" s="16">
        <f>IFERROR(INDEX('12_字段字典'!$K:$K,MATCH($B58,'12_字段字典'!$B:$B,0)),"")</f>
        <v/>
      </c>
      <c r="S58" s="16">
        <f>IFERROR(INDEX('12_字段字典'!$L:$L,MATCH($B58,'12_字段字典'!$B:$B,0)),"")</f>
        <v/>
      </c>
      <c r="T58" s="16">
        <f>IFERROR(INDEX('12_字段字典'!$M:$M,MATCH($B58,'12_字段字典'!$B:$B,0)),"")</f>
        <v/>
      </c>
    </row>
    <row r="59" ht="27" customHeight="1" s="30">
      <c r="A59" s="2" t="inlineStr">
        <is>
          <t>D. 材料排放因子</t>
        </is>
      </c>
      <c r="B59" s="2" t="inlineStr">
        <is>
          <t>copper_pcf</t>
        </is>
      </c>
      <c r="C59" s="2" t="inlineStr">
        <is>
          <t>铜材排放因子</t>
        </is>
      </c>
      <c r="D59" s="2" t="inlineStr">
        <is>
          <t>copper PCF</t>
        </is>
      </c>
      <c r="E59" s="2" t="inlineStr">
        <is>
          <t>kgCO2e/kg</t>
        </is>
      </c>
      <c r="F59" s="3" t="n">
        <v>3.8</v>
      </c>
      <c r="G59" s="18" t="n">
        <v>3.8</v>
      </c>
      <c r="H59" s="2" t="inlineStr">
        <is>
          <t>供应商 PCF 或行业因子</t>
        </is>
      </c>
      <c r="I59" s="2" t="inlineStr">
        <is>
          <t>供应商 PCF / 因子库</t>
        </is>
      </c>
      <c r="J59" s="2" t="inlineStr">
        <is>
          <t>EU</t>
        </is>
      </c>
      <c r="K59" s="16">
        <f>IFERROR(INDEX('12_字段字典'!$D:$D,MATCH($B59,'12_字段字典'!$B:$B,0)),"")</f>
        <v/>
      </c>
      <c r="L59" s="16">
        <f>IFERROR(INDEX('12_字段字典'!$E:$E,MATCH($B59,'12_字段字典'!$B:$B,0)),"")</f>
        <v/>
      </c>
      <c r="M59" s="16">
        <f>IFERROR(INDEX('12_字段字典'!$F:$F,MATCH($B59,'12_字段字典'!$B:$B,0)),"")</f>
        <v/>
      </c>
      <c r="N59" s="16">
        <f>IFERROR(INDEX('12_字段字典'!$G:$G,MATCH($B59,'12_字段字典'!$B:$B,0)),"")</f>
        <v/>
      </c>
      <c r="O59" s="16">
        <f>IFERROR(INDEX('12_字段字典'!$H:$H,MATCH($B59,'12_字段字典'!$B:$B,0)),"")</f>
        <v/>
      </c>
      <c r="P59" s="16">
        <f>IFERROR(INDEX('12_字段字典'!$I:$I,MATCH($B59,'12_字段字典'!$B:$B,0)),"")</f>
        <v/>
      </c>
      <c r="Q59" s="16">
        <f>IFERROR(INDEX('12_字段字典'!$J:$J,MATCH($B59,'12_字段字典'!$B:$B,0)),"")</f>
        <v/>
      </c>
      <c r="R59" s="16">
        <f>IFERROR(INDEX('12_字段字典'!$K:$K,MATCH($B59,'12_字段字典'!$B:$B,0)),"")</f>
        <v/>
      </c>
      <c r="S59" s="16">
        <f>IFERROR(INDEX('12_字段字典'!$L:$L,MATCH($B59,'12_字段字典'!$B:$B,0)),"")</f>
        <v/>
      </c>
      <c r="T59" s="16">
        <f>IFERROR(INDEX('12_字段字典'!$M:$M,MATCH($B59,'12_字段字典'!$B:$B,0)),"")</f>
        <v/>
      </c>
    </row>
    <row r="60" ht="27" customHeight="1" s="30">
      <c r="A60" s="2" t="inlineStr">
        <is>
          <t>D. 材料排放因子</t>
        </is>
      </c>
      <c r="B60" s="2" t="inlineStr">
        <is>
          <t>aluminium_direct_pcf</t>
        </is>
      </c>
      <c r="C60" s="2" t="inlineStr">
        <is>
          <t>铝材直接排放因子</t>
        </is>
      </c>
      <c r="D60" s="2" t="inlineStr">
        <is>
          <t>aluminium direct factor</t>
        </is>
      </c>
      <c r="E60" s="2" t="inlineStr">
        <is>
          <t>kgCO2e/kg</t>
        </is>
      </c>
      <c r="F60" s="3" t="n">
        <v>9</v>
      </c>
      <c r="G60" s="18" t="n">
        <v>9</v>
      </c>
      <c r="H60" s="2" t="inlineStr">
        <is>
          <t>可借用到 CBAM direct emissions</t>
        </is>
      </c>
      <c r="I60" s="2" t="inlineStr">
        <is>
          <t>supplier PCF / 安装点数据</t>
        </is>
      </c>
      <c r="J60" s="2" t="inlineStr">
        <is>
          <t>EU+CBAM</t>
        </is>
      </c>
      <c r="K60" s="16">
        <f>IFERROR(INDEX('12_字段字典'!$D:$D,MATCH($B60,'12_字段字典'!$B:$B,0)),"")</f>
        <v/>
      </c>
      <c r="L60" s="16">
        <f>IFERROR(INDEX('12_字段字典'!$E:$E,MATCH($B60,'12_字段字典'!$B:$B,0)),"")</f>
        <v/>
      </c>
      <c r="M60" s="16">
        <f>IFERROR(INDEX('12_字段字典'!$F:$F,MATCH($B60,'12_字段字典'!$B:$B,0)),"")</f>
        <v/>
      </c>
      <c r="N60" s="16">
        <f>IFERROR(INDEX('12_字段字典'!$G:$G,MATCH($B60,'12_字段字典'!$B:$B,0)),"")</f>
        <v/>
      </c>
      <c r="O60" s="16">
        <f>IFERROR(INDEX('12_字段字典'!$H:$H,MATCH($B60,'12_字段字典'!$B:$B,0)),"")</f>
        <v/>
      </c>
      <c r="P60" s="16">
        <f>IFERROR(INDEX('12_字段字典'!$I:$I,MATCH($B60,'12_字段字典'!$B:$B,0)),"")</f>
        <v/>
      </c>
      <c r="Q60" s="16">
        <f>IFERROR(INDEX('12_字段字典'!$J:$J,MATCH($B60,'12_字段字典'!$B:$B,0)),"")</f>
        <v/>
      </c>
      <c r="R60" s="16">
        <f>IFERROR(INDEX('12_字段字典'!$K:$K,MATCH($B60,'12_字段字典'!$B:$B,0)),"")</f>
        <v/>
      </c>
      <c r="S60" s="16">
        <f>IFERROR(INDEX('12_字段字典'!$L:$L,MATCH($B60,'12_字段字典'!$B:$B,0)),"")</f>
        <v/>
      </c>
      <c r="T60" s="16">
        <f>IFERROR(INDEX('12_字段字典'!$M:$M,MATCH($B60,'12_字段字典'!$B:$B,0)),"")</f>
        <v/>
      </c>
    </row>
    <row r="61" ht="27" customHeight="1" s="30">
      <c r="A61" s="2" t="inlineStr">
        <is>
          <t>D. 材料排放因子</t>
        </is>
      </c>
      <c r="B61" s="2" t="inlineStr">
        <is>
          <t>aluminium_indirect_pcf</t>
        </is>
      </c>
      <c r="C61" s="2" t="inlineStr">
        <is>
          <t>铝材间接排放因子</t>
        </is>
      </c>
      <c r="D61" s="2" t="inlineStr">
        <is>
          <t>aluminium indirect factor</t>
        </is>
      </c>
      <c r="E61" s="2" t="inlineStr">
        <is>
          <t>kgCO2e/kg</t>
        </is>
      </c>
      <c r="F61" s="3" t="n">
        <v>5</v>
      </c>
      <c r="G61" s="18" t="n">
        <v>5</v>
      </c>
      <c r="H61" s="2" t="inlineStr">
        <is>
          <t>可借用到 CBAM indirect emissions</t>
        </is>
      </c>
      <c r="I61" s="2" t="inlineStr">
        <is>
          <t>supplier PCF / 电力因子</t>
        </is>
      </c>
      <c r="J61" s="2" t="inlineStr">
        <is>
          <t>EU+CBAM</t>
        </is>
      </c>
      <c r="K61" s="16">
        <f>IFERROR(INDEX('12_字段字典'!$D:$D,MATCH($B61,'12_字段字典'!$B:$B,0)),"")</f>
        <v/>
      </c>
      <c r="L61" s="16">
        <f>IFERROR(INDEX('12_字段字典'!$E:$E,MATCH($B61,'12_字段字典'!$B:$B,0)),"")</f>
        <v/>
      </c>
      <c r="M61" s="16">
        <f>IFERROR(INDEX('12_字段字典'!$F:$F,MATCH($B61,'12_字段字典'!$B:$B,0)),"")</f>
        <v/>
      </c>
      <c r="N61" s="16">
        <f>IFERROR(INDEX('12_字段字典'!$G:$G,MATCH($B61,'12_字段字典'!$B:$B,0)),"")</f>
        <v/>
      </c>
      <c r="O61" s="16">
        <f>IFERROR(INDEX('12_字段字典'!$H:$H,MATCH($B61,'12_字段字典'!$B:$B,0)),"")</f>
        <v/>
      </c>
      <c r="P61" s="16">
        <f>IFERROR(INDEX('12_字段字典'!$I:$I,MATCH($B61,'12_字段字典'!$B:$B,0)),"")</f>
        <v/>
      </c>
      <c r="Q61" s="16">
        <f>IFERROR(INDEX('12_字段字典'!$J:$J,MATCH($B61,'12_字段字典'!$B:$B,0)),"")</f>
        <v/>
      </c>
      <c r="R61" s="16">
        <f>IFERROR(INDEX('12_字段字典'!$K:$K,MATCH($B61,'12_字段字典'!$B:$B,0)),"")</f>
        <v/>
      </c>
      <c r="S61" s="16">
        <f>IFERROR(INDEX('12_字段字典'!$L:$L,MATCH($B61,'12_字段字典'!$B:$B,0)),"")</f>
        <v/>
      </c>
      <c r="T61" s="16">
        <f>IFERROR(INDEX('12_字段字典'!$M:$M,MATCH($B61,'12_字段字典'!$B:$B,0)),"")</f>
        <v/>
      </c>
    </row>
    <row r="62" ht="27" customHeight="1" s="30">
      <c r="A62" s="2" t="inlineStr">
        <is>
          <t>D. 材料排放因子</t>
        </is>
      </c>
      <c r="B62" s="2" t="inlineStr">
        <is>
          <t>steel_direct_pcf</t>
        </is>
      </c>
      <c r="C62" s="2" t="inlineStr">
        <is>
          <t>钢材直接排放因子</t>
        </is>
      </c>
      <c r="D62" s="2" t="inlineStr">
        <is>
          <t>steel direct factor</t>
        </is>
      </c>
      <c r="E62" s="2" t="inlineStr">
        <is>
          <t>kgCO2e/kg</t>
        </is>
      </c>
      <c r="F62" s="3" t="n">
        <v>2</v>
      </c>
      <c r="G62" s="18" t="n">
        <v>2</v>
      </c>
      <c r="H62" s="2" t="inlineStr">
        <is>
          <t>可借用到 CBAM direct emissions</t>
        </is>
      </c>
      <c r="I62" s="2" t="inlineStr">
        <is>
          <t>supplier PCF / 安装点数据</t>
        </is>
      </c>
      <c r="J62" s="2" t="inlineStr">
        <is>
          <t>EU+CBAM</t>
        </is>
      </c>
      <c r="K62" s="16">
        <f>IFERROR(INDEX('12_字段字典'!$D:$D,MATCH($B62,'12_字段字典'!$B:$B,0)),"")</f>
        <v/>
      </c>
      <c r="L62" s="16">
        <f>IFERROR(INDEX('12_字段字典'!$E:$E,MATCH($B62,'12_字段字典'!$B:$B,0)),"")</f>
        <v/>
      </c>
      <c r="M62" s="16">
        <f>IFERROR(INDEX('12_字段字典'!$F:$F,MATCH($B62,'12_字段字典'!$B:$B,0)),"")</f>
        <v/>
      </c>
      <c r="N62" s="16">
        <f>IFERROR(INDEX('12_字段字典'!$G:$G,MATCH($B62,'12_字段字典'!$B:$B,0)),"")</f>
        <v/>
      </c>
      <c r="O62" s="16">
        <f>IFERROR(INDEX('12_字段字典'!$H:$H,MATCH($B62,'12_字段字典'!$B:$B,0)),"")</f>
        <v/>
      </c>
      <c r="P62" s="16">
        <f>IFERROR(INDEX('12_字段字典'!$I:$I,MATCH($B62,'12_字段字典'!$B:$B,0)),"")</f>
        <v/>
      </c>
      <c r="Q62" s="16">
        <f>IFERROR(INDEX('12_字段字典'!$J:$J,MATCH($B62,'12_字段字典'!$B:$B,0)),"")</f>
        <v/>
      </c>
      <c r="R62" s="16">
        <f>IFERROR(INDEX('12_字段字典'!$K:$K,MATCH($B62,'12_字段字典'!$B:$B,0)),"")</f>
        <v/>
      </c>
      <c r="S62" s="16">
        <f>IFERROR(INDEX('12_字段字典'!$L:$L,MATCH($B62,'12_字段字典'!$B:$B,0)),"")</f>
        <v/>
      </c>
      <c r="T62" s="16">
        <f>IFERROR(INDEX('12_字段字典'!$M:$M,MATCH($B62,'12_字段字典'!$B:$B,0)),"")</f>
        <v/>
      </c>
    </row>
    <row r="63" ht="27" customHeight="1" s="30">
      <c r="A63" s="2" t="inlineStr">
        <is>
          <t>D. 材料排放因子</t>
        </is>
      </c>
      <c r="B63" s="2" t="inlineStr">
        <is>
          <t>steel_indirect_pcf</t>
        </is>
      </c>
      <c r="C63" s="2" t="inlineStr">
        <is>
          <t>钢材间接排放因子</t>
        </is>
      </c>
      <c r="D63" s="2" t="inlineStr">
        <is>
          <t>steel indirect factor</t>
        </is>
      </c>
      <c r="E63" s="2" t="inlineStr">
        <is>
          <t>kgCO2e/kg</t>
        </is>
      </c>
      <c r="F63" s="3" t="n">
        <v>0.7</v>
      </c>
      <c r="G63" s="18" t="n">
        <v>0.7</v>
      </c>
      <c r="H63" s="2" t="inlineStr">
        <is>
          <t>可借用到 CBAM indirect emissions</t>
        </is>
      </c>
      <c r="I63" s="2" t="inlineStr">
        <is>
          <t>supplier PCF / 电力因子</t>
        </is>
      </c>
      <c r="J63" s="2" t="inlineStr">
        <is>
          <t>EU+CBAM</t>
        </is>
      </c>
      <c r="K63" s="16">
        <f>IFERROR(INDEX('12_字段字典'!$D:$D,MATCH($B63,'12_字段字典'!$B:$B,0)),"")</f>
        <v/>
      </c>
      <c r="L63" s="16">
        <f>IFERROR(INDEX('12_字段字典'!$E:$E,MATCH($B63,'12_字段字典'!$B:$B,0)),"")</f>
        <v/>
      </c>
      <c r="M63" s="16">
        <f>IFERROR(INDEX('12_字段字典'!$F:$F,MATCH($B63,'12_字段字典'!$B:$B,0)),"")</f>
        <v/>
      </c>
      <c r="N63" s="16">
        <f>IFERROR(INDEX('12_字段字典'!$G:$G,MATCH($B63,'12_字段字典'!$B:$B,0)),"")</f>
        <v/>
      </c>
      <c r="O63" s="16">
        <f>IFERROR(INDEX('12_字段字典'!$H:$H,MATCH($B63,'12_字段字典'!$B:$B,0)),"")</f>
        <v/>
      </c>
      <c r="P63" s="16">
        <f>IFERROR(INDEX('12_字段字典'!$I:$I,MATCH($B63,'12_字段字典'!$B:$B,0)),"")</f>
        <v/>
      </c>
      <c r="Q63" s="16">
        <f>IFERROR(INDEX('12_字段字典'!$J:$J,MATCH($B63,'12_字段字典'!$B:$B,0)),"")</f>
        <v/>
      </c>
      <c r="R63" s="16">
        <f>IFERROR(INDEX('12_字段字典'!$K:$K,MATCH($B63,'12_字段字典'!$B:$B,0)),"")</f>
        <v/>
      </c>
      <c r="S63" s="16">
        <f>IFERROR(INDEX('12_字段字典'!$L:$L,MATCH($B63,'12_字段字典'!$B:$B,0)),"")</f>
        <v/>
      </c>
      <c r="T63" s="16">
        <f>IFERROR(INDEX('12_字段字典'!$M:$M,MATCH($B63,'12_字段字典'!$B:$B,0)),"")</f>
        <v/>
      </c>
    </row>
    <row r="64" ht="27" customHeight="1" s="30">
      <c r="A64" s="2" t="inlineStr">
        <is>
          <t>D. 材料排放因子</t>
        </is>
      </c>
      <c r="B64" s="2" t="inlineStr">
        <is>
          <t>plastic_pcf</t>
        </is>
      </c>
      <c r="C64" s="2" t="inlineStr">
        <is>
          <t>塑料件排放因子</t>
        </is>
      </c>
      <c r="D64" s="2" t="inlineStr">
        <is>
          <t>plastic PCF</t>
        </is>
      </c>
      <c r="E64" s="2" t="inlineStr">
        <is>
          <t>kgCO2e/kg</t>
        </is>
      </c>
      <c r="F64" s="3" t="n">
        <v>3</v>
      </c>
      <c r="G64" s="18" t="n">
        <v>3</v>
      </c>
      <c r="H64" s="2" t="inlineStr">
        <is>
          <t>供应商 PCF 或行业因子</t>
        </is>
      </c>
      <c r="I64" s="2" t="inlineStr">
        <is>
          <t>供应商 PCF / 因子库</t>
        </is>
      </c>
      <c r="J64" s="2" t="inlineStr">
        <is>
          <t>EU</t>
        </is>
      </c>
      <c r="K64" s="16">
        <f>IFERROR(INDEX('12_字段字典'!$D:$D,MATCH($B64,'12_字段字典'!$B:$B,0)),"")</f>
        <v/>
      </c>
      <c r="L64" s="16">
        <f>IFERROR(INDEX('12_字段字典'!$E:$E,MATCH($B64,'12_字段字典'!$B:$B,0)),"")</f>
        <v/>
      </c>
      <c r="M64" s="16">
        <f>IFERROR(INDEX('12_字段字典'!$F:$F,MATCH($B64,'12_字段字典'!$B:$B,0)),"")</f>
        <v/>
      </c>
      <c r="N64" s="16">
        <f>IFERROR(INDEX('12_字段字典'!$G:$G,MATCH($B64,'12_字段字典'!$B:$B,0)),"")</f>
        <v/>
      </c>
      <c r="O64" s="16">
        <f>IFERROR(INDEX('12_字段字典'!$H:$H,MATCH($B64,'12_字段字典'!$B:$B,0)),"")</f>
        <v/>
      </c>
      <c r="P64" s="16">
        <f>IFERROR(INDEX('12_字段字典'!$I:$I,MATCH($B64,'12_字段字典'!$B:$B,0)),"")</f>
        <v/>
      </c>
      <c r="Q64" s="16">
        <f>IFERROR(INDEX('12_字段字典'!$J:$J,MATCH($B64,'12_字段字典'!$B:$B,0)),"")</f>
        <v/>
      </c>
      <c r="R64" s="16">
        <f>IFERROR(INDEX('12_字段字典'!$K:$K,MATCH($B64,'12_字段字典'!$B:$B,0)),"")</f>
        <v/>
      </c>
      <c r="S64" s="16">
        <f>IFERROR(INDEX('12_字段字典'!$L:$L,MATCH($B64,'12_字段字典'!$B:$B,0)),"")</f>
        <v/>
      </c>
      <c r="T64" s="16">
        <f>IFERROR(INDEX('12_字段字典'!$M:$M,MATCH($B64,'12_字段字典'!$B:$B,0)),"")</f>
        <v/>
      </c>
    </row>
    <row r="65" ht="27" customHeight="1" s="30">
      <c r="A65" s="2" t="inlineStr">
        <is>
          <t>D. 材料排放因子</t>
        </is>
      </c>
      <c r="B65" s="2" t="inlineStr">
        <is>
          <t>other_material_pcf</t>
        </is>
      </c>
      <c r="C65" s="2" t="inlineStr">
        <is>
          <t>其他材料排放因子</t>
        </is>
      </c>
      <c r="D65" s="2" t="inlineStr">
        <is>
          <t>other material PCF</t>
        </is>
      </c>
      <c r="E65" s="2" t="inlineStr">
        <is>
          <t>kgCO2e/kg</t>
        </is>
      </c>
      <c r="F65" s="3" t="n">
        <v>2.3</v>
      </c>
      <c r="G65" s="18" t="n">
        <v>2.3</v>
      </c>
      <c r="H65" s="2" t="inlineStr">
        <is>
          <t>供应商 PCF 或行业因子</t>
        </is>
      </c>
      <c r="I65" s="2" t="inlineStr">
        <is>
          <t>供应商 PCF / 因子库</t>
        </is>
      </c>
      <c r="J65" s="2" t="inlineStr">
        <is>
          <t>EU</t>
        </is>
      </c>
      <c r="K65" s="16">
        <f>IFERROR(INDEX('12_字段字典'!$D:$D,MATCH($B65,'12_字段字典'!$B:$B,0)),"")</f>
        <v/>
      </c>
      <c r="L65" s="16">
        <f>IFERROR(INDEX('12_字段字典'!$E:$E,MATCH($B65,'12_字段字典'!$B:$B,0)),"")</f>
        <v/>
      </c>
      <c r="M65" s="16">
        <f>IFERROR(INDEX('12_字段字典'!$F:$F,MATCH($B65,'12_字段字典'!$B:$B,0)),"")</f>
        <v/>
      </c>
      <c r="N65" s="16">
        <f>IFERROR(INDEX('12_字段字典'!$G:$G,MATCH($B65,'12_字段字典'!$B:$B,0)),"")</f>
        <v/>
      </c>
      <c r="O65" s="16">
        <f>IFERROR(INDEX('12_字段字典'!$H:$H,MATCH($B65,'12_字段字典'!$B:$B,0)),"")</f>
        <v/>
      </c>
      <c r="P65" s="16">
        <f>IFERROR(INDEX('12_字段字典'!$I:$I,MATCH($B65,'12_字段字典'!$B:$B,0)),"")</f>
        <v/>
      </c>
      <c r="Q65" s="16">
        <f>IFERROR(INDEX('12_字段字典'!$J:$J,MATCH($B65,'12_字段字典'!$B:$B,0)),"")</f>
        <v/>
      </c>
      <c r="R65" s="16">
        <f>IFERROR(INDEX('12_字段字典'!$K:$K,MATCH($B65,'12_字段字典'!$B:$B,0)),"")</f>
        <v/>
      </c>
      <c r="S65" s="16">
        <f>IFERROR(INDEX('12_字段字典'!$L:$L,MATCH($B65,'12_字段字典'!$B:$B,0)),"")</f>
        <v/>
      </c>
      <c r="T65" s="16">
        <f>IFERROR(INDEX('12_字段字典'!$M:$M,MATCH($B65,'12_字段字典'!$B:$B,0)),"")</f>
        <v/>
      </c>
    </row>
    <row r="66" ht="27" customHeight="1" s="30">
      <c r="A66" s="2" t="inlineStr">
        <is>
          <t>E. 制造能耗与工艺</t>
        </is>
      </c>
      <c r="B66" s="2" t="inlineStr">
        <is>
          <t>grid_electricity_kwh</t>
        </is>
      </c>
      <c r="C66" s="2" t="inlineStr">
        <is>
          <t>电网电使用量</t>
        </is>
      </c>
      <c r="D66" s="2" t="inlineStr">
        <is>
          <t>grid electricity use</t>
        </is>
      </c>
      <c r="E66" s="2" t="inlineStr">
        <is>
          <t>kWh/declared unit</t>
        </is>
      </c>
      <c r="F66" s="3" t="n">
        <v>450</v>
      </c>
      <c r="G66" s="18" t="n">
        <v>450</v>
      </c>
      <c r="H66" s="2" t="inlineStr">
        <is>
          <t>按当前申报单元分摊后的电力使用量</t>
        </is>
      </c>
      <c r="I66" s="2" t="inlineStr">
        <is>
          <t>电表/电费单</t>
        </is>
      </c>
      <c r="J66" s="2" t="inlineStr">
        <is>
          <t>EU+CBAM</t>
        </is>
      </c>
      <c r="K66" s="16">
        <f>IFERROR(INDEX('12_字段字典'!$D:$D,MATCH($B66,'12_字段字典'!$B:$B,0)),"")</f>
        <v/>
      </c>
      <c r="L66" s="16">
        <f>IFERROR(INDEX('12_字段字典'!$E:$E,MATCH($B66,'12_字段字典'!$B:$B,0)),"")</f>
        <v/>
      </c>
      <c r="M66" s="16">
        <f>IFERROR(INDEX('12_字段字典'!$F:$F,MATCH($B66,'12_字段字典'!$B:$B,0)),"")</f>
        <v/>
      </c>
      <c r="N66" s="16">
        <f>IFERROR(INDEX('12_字段字典'!$G:$G,MATCH($B66,'12_字段字典'!$B:$B,0)),"")</f>
        <v/>
      </c>
      <c r="O66" s="16">
        <f>IFERROR(INDEX('12_字段字典'!$H:$H,MATCH($B66,'12_字段字典'!$B:$B,0)),"")</f>
        <v/>
      </c>
      <c r="P66" s="16">
        <f>IFERROR(INDEX('12_字段字典'!$I:$I,MATCH($B66,'12_字段字典'!$B:$B,0)),"")</f>
        <v/>
      </c>
      <c r="Q66" s="16">
        <f>IFERROR(INDEX('12_字段字典'!$J:$J,MATCH($B66,'12_字段字典'!$B:$B,0)),"")</f>
        <v/>
      </c>
      <c r="R66" s="16">
        <f>IFERROR(INDEX('12_字段字典'!$K:$K,MATCH($B66,'12_字段字典'!$B:$B,0)),"")</f>
        <v/>
      </c>
      <c r="S66" s="16">
        <f>IFERROR(INDEX('12_字段字典'!$L:$L,MATCH($B66,'12_字段字典'!$B:$B,0)),"")</f>
        <v/>
      </c>
      <c r="T66" s="16">
        <f>IFERROR(INDEX('12_字段字典'!$M:$M,MATCH($B66,'12_字段字典'!$B:$B,0)),"")</f>
        <v/>
      </c>
    </row>
    <row r="67" ht="27" customHeight="1" s="30">
      <c r="A67" s="2" t="inlineStr">
        <is>
          <t>E. 制造能耗与工艺</t>
        </is>
      </c>
      <c r="B67" s="2" t="inlineStr">
        <is>
          <t>green_electricity_kwh</t>
        </is>
      </c>
      <c r="C67" s="2" t="inlineStr">
        <is>
          <t>绿电使用量</t>
        </is>
      </c>
      <c r="D67" s="2" t="inlineStr">
        <is>
          <t>green electricity use</t>
        </is>
      </c>
      <c r="E67" s="2" t="inlineStr">
        <is>
          <t>kWh/declared unit</t>
        </is>
      </c>
      <c r="F67" s="3" t="n">
        <v>150</v>
      </c>
      <c r="G67" s="18" t="n">
        <v>150</v>
      </c>
      <c r="H67" s="2" t="inlineStr">
        <is>
          <t>按当前申报单元分摊后的电力使用量</t>
        </is>
      </c>
      <c r="I67" s="2" t="inlineStr">
        <is>
          <t>绿证/PPA/电表</t>
        </is>
      </c>
      <c r="J67" s="2" t="inlineStr">
        <is>
          <t>EU</t>
        </is>
      </c>
      <c r="K67" s="16">
        <f>IFERROR(INDEX('12_字段字典'!$D:$D,MATCH($B67,'12_字段字典'!$B:$B,0)),"")</f>
        <v/>
      </c>
      <c r="L67" s="16">
        <f>IFERROR(INDEX('12_字段字典'!$E:$E,MATCH($B67,'12_字段字典'!$B:$B,0)),"")</f>
        <v/>
      </c>
      <c r="M67" s="16">
        <f>IFERROR(INDEX('12_字段字典'!$F:$F,MATCH($B67,'12_字段字典'!$B:$B,0)),"")</f>
        <v/>
      </c>
      <c r="N67" s="16">
        <f>IFERROR(INDEX('12_字段字典'!$G:$G,MATCH($B67,'12_字段字典'!$B:$B,0)),"")</f>
        <v/>
      </c>
      <c r="O67" s="16">
        <f>IFERROR(INDEX('12_字段字典'!$H:$H,MATCH($B67,'12_字段字典'!$B:$B,0)),"")</f>
        <v/>
      </c>
      <c r="P67" s="16">
        <f>IFERROR(INDEX('12_字段字典'!$I:$I,MATCH($B67,'12_字段字典'!$B:$B,0)),"")</f>
        <v/>
      </c>
      <c r="Q67" s="16">
        <f>IFERROR(INDEX('12_字段字典'!$J:$J,MATCH($B67,'12_字段字典'!$B:$B,0)),"")</f>
        <v/>
      </c>
      <c r="R67" s="16">
        <f>IFERROR(INDEX('12_字段字典'!$K:$K,MATCH($B67,'12_字段字典'!$B:$B,0)),"")</f>
        <v/>
      </c>
      <c r="S67" s="16">
        <f>IFERROR(INDEX('12_字段字典'!$L:$L,MATCH($B67,'12_字段字典'!$B:$B,0)),"")</f>
        <v/>
      </c>
      <c r="T67" s="16">
        <f>IFERROR(INDEX('12_字段字典'!$M:$M,MATCH($B67,'12_字段字典'!$B:$B,0)),"")</f>
        <v/>
      </c>
    </row>
    <row r="68" ht="27" customHeight="1" s="30">
      <c r="A68" s="2" t="inlineStr">
        <is>
          <t>E. 制造能耗与工艺</t>
        </is>
      </c>
      <c r="B68" s="2" t="inlineStr">
        <is>
          <t>green_electricity_factor</t>
        </is>
      </c>
      <c r="C68" s="2" t="inlineStr">
        <is>
          <t>绿电排放因子</t>
        </is>
      </c>
      <c r="D68" s="2" t="inlineStr">
        <is>
          <t>green electricity factor</t>
        </is>
      </c>
      <c r="E68" s="2" t="inlineStr">
        <is>
          <t>kgCO2e/kWh</t>
        </is>
      </c>
      <c r="F68" s="3" t="n">
        <v>0.05</v>
      </c>
      <c r="G68" s="18" t="n">
        <v>0.05</v>
      </c>
      <c r="H68" s="2" t="inlineStr">
        <is>
          <t>模板示例因子</t>
        </is>
      </c>
      <c r="I68" s="2" t="inlineStr">
        <is>
          <t>方法说明/因子库</t>
        </is>
      </c>
      <c r="J68" s="2" t="inlineStr">
        <is>
          <t>EU</t>
        </is>
      </c>
      <c r="K68" s="16">
        <f>IFERROR(INDEX('12_字段字典'!$D:$D,MATCH($B68,'12_字段字典'!$B:$B,0)),"")</f>
        <v/>
      </c>
      <c r="L68" s="16">
        <f>IFERROR(INDEX('12_字段字典'!$E:$E,MATCH($B68,'12_字段字典'!$B:$B,0)),"")</f>
        <v/>
      </c>
      <c r="M68" s="16">
        <f>IFERROR(INDEX('12_字段字典'!$F:$F,MATCH($B68,'12_字段字典'!$B:$B,0)),"")</f>
        <v/>
      </c>
      <c r="N68" s="16">
        <f>IFERROR(INDEX('12_字段字典'!$G:$G,MATCH($B68,'12_字段字典'!$B:$B,0)),"")</f>
        <v/>
      </c>
      <c r="O68" s="16">
        <f>IFERROR(INDEX('12_字段字典'!$H:$H,MATCH($B68,'12_字段字典'!$B:$B,0)),"")</f>
        <v/>
      </c>
      <c r="P68" s="16">
        <f>IFERROR(INDEX('12_字段字典'!$I:$I,MATCH($B68,'12_字段字典'!$B:$B,0)),"")</f>
        <v/>
      </c>
      <c r="Q68" s="16">
        <f>IFERROR(INDEX('12_字段字典'!$J:$J,MATCH($B68,'12_字段字典'!$B:$B,0)),"")</f>
        <v/>
      </c>
      <c r="R68" s="16">
        <f>IFERROR(INDEX('12_字段字典'!$K:$K,MATCH($B68,'12_字段字典'!$B:$B,0)),"")</f>
        <v/>
      </c>
      <c r="S68" s="16">
        <f>IFERROR(INDEX('12_字段字典'!$L:$L,MATCH($B68,'12_字段字典'!$B:$B,0)),"")</f>
        <v/>
      </c>
      <c r="T68" s="16">
        <f>IFERROR(INDEX('12_字段字典'!$M:$M,MATCH($B68,'12_字段字典'!$B:$B,0)),"")</f>
        <v/>
      </c>
    </row>
    <row r="69" ht="27" customHeight="1" s="30">
      <c r="A69" s="2" t="inlineStr">
        <is>
          <t>E. 制造能耗与工艺</t>
        </is>
      </c>
      <c r="B69" s="2" t="inlineStr">
        <is>
          <t>grid_electricity_factor</t>
        </is>
      </c>
      <c r="C69" s="2" t="inlineStr">
        <is>
          <t>电网电排放因子</t>
        </is>
      </c>
      <c r="D69" s="2" t="inlineStr">
        <is>
          <t>grid electricity factor</t>
        </is>
      </c>
      <c r="E69" s="2" t="inlineStr">
        <is>
          <t>kgCO2e/kWh</t>
        </is>
      </c>
      <c r="F69" s="3" t="n">
        <v>0.55</v>
      </c>
      <c r="G69" s="18" t="n">
        <v>0.55</v>
      </c>
      <c r="H69" s="2" t="inlineStr">
        <is>
          <t>模板示例因子</t>
        </is>
      </c>
      <c r="I69" s="2" t="inlineStr">
        <is>
          <t>方法说明/因子库</t>
        </is>
      </c>
      <c r="J69" s="2" t="inlineStr">
        <is>
          <t>EU+CBAM</t>
        </is>
      </c>
      <c r="K69" s="16">
        <f>IFERROR(INDEX('12_字段字典'!$D:$D,MATCH($B69,'12_字段字典'!$B:$B,0)),"")</f>
        <v/>
      </c>
      <c r="L69" s="16">
        <f>IFERROR(INDEX('12_字段字典'!$E:$E,MATCH($B69,'12_字段字典'!$B:$B,0)),"")</f>
        <v/>
      </c>
      <c r="M69" s="16">
        <f>IFERROR(INDEX('12_字段字典'!$F:$F,MATCH($B69,'12_字段字典'!$B:$B,0)),"")</f>
        <v/>
      </c>
      <c r="N69" s="16">
        <f>IFERROR(INDEX('12_字段字典'!$G:$G,MATCH($B69,'12_字段字典'!$B:$B,0)),"")</f>
        <v/>
      </c>
      <c r="O69" s="16">
        <f>IFERROR(INDEX('12_字段字典'!$H:$H,MATCH($B69,'12_字段字典'!$B:$B,0)),"")</f>
        <v/>
      </c>
      <c r="P69" s="16">
        <f>IFERROR(INDEX('12_字段字典'!$I:$I,MATCH($B69,'12_字段字典'!$B:$B,0)),"")</f>
        <v/>
      </c>
      <c r="Q69" s="16">
        <f>IFERROR(INDEX('12_字段字典'!$J:$J,MATCH($B69,'12_字段字典'!$B:$B,0)),"")</f>
        <v/>
      </c>
      <c r="R69" s="16">
        <f>IFERROR(INDEX('12_字段字典'!$K:$K,MATCH($B69,'12_字段字典'!$B:$B,0)),"")</f>
        <v/>
      </c>
      <c r="S69" s="16">
        <f>IFERROR(INDEX('12_字段字典'!$L:$L,MATCH($B69,'12_字段字典'!$B:$B,0)),"")</f>
        <v/>
      </c>
      <c r="T69" s="16">
        <f>IFERROR(INDEX('12_字段字典'!$M:$M,MATCH($B69,'12_字段字典'!$B:$B,0)),"")</f>
        <v/>
      </c>
    </row>
    <row r="70" ht="27" customHeight="1" s="30">
      <c r="A70" s="2" t="inlineStr">
        <is>
          <t>E. 制造能耗与工艺</t>
        </is>
      </c>
      <c r="B70" s="2" t="inlineStr">
        <is>
          <t>steam_mj</t>
        </is>
      </c>
      <c r="C70" s="2" t="inlineStr">
        <is>
          <t>蒸汽使用量</t>
        </is>
      </c>
      <c r="D70" s="2" t="inlineStr">
        <is>
          <t>steam use</t>
        </is>
      </c>
      <c r="E70" s="2" t="inlineStr">
        <is>
          <t>MJ/declared unit</t>
        </is>
      </c>
      <c r="F70" s="3" t="n">
        <v>220</v>
      </c>
      <c r="G70" s="18" t="n">
        <v>220</v>
      </c>
      <c r="H70" s="2" t="inlineStr">
        <is>
          <t>按当前申报单元分摊后的能源使用量</t>
        </is>
      </c>
      <c r="I70" s="2" t="inlineStr">
        <is>
          <t>蒸汽台账/发票</t>
        </is>
      </c>
      <c r="J70" s="2" t="inlineStr">
        <is>
          <t>EU</t>
        </is>
      </c>
      <c r="K70" s="16">
        <f>IFERROR(INDEX('12_字段字典'!$D:$D,MATCH($B70,'12_字段字典'!$B:$B,0)),"")</f>
        <v/>
      </c>
      <c r="L70" s="16">
        <f>IFERROR(INDEX('12_字段字典'!$E:$E,MATCH($B70,'12_字段字典'!$B:$B,0)),"")</f>
        <v/>
      </c>
      <c r="M70" s="16">
        <f>IFERROR(INDEX('12_字段字典'!$F:$F,MATCH($B70,'12_字段字典'!$B:$B,0)),"")</f>
        <v/>
      </c>
      <c r="N70" s="16">
        <f>IFERROR(INDEX('12_字段字典'!$G:$G,MATCH($B70,'12_字段字典'!$B:$B,0)),"")</f>
        <v/>
      </c>
      <c r="O70" s="16">
        <f>IFERROR(INDEX('12_字段字典'!$H:$H,MATCH($B70,'12_字段字典'!$B:$B,0)),"")</f>
        <v/>
      </c>
      <c r="P70" s="16">
        <f>IFERROR(INDEX('12_字段字典'!$I:$I,MATCH($B70,'12_字段字典'!$B:$B,0)),"")</f>
        <v/>
      </c>
      <c r="Q70" s="16">
        <f>IFERROR(INDEX('12_字段字典'!$J:$J,MATCH($B70,'12_字段字典'!$B:$B,0)),"")</f>
        <v/>
      </c>
      <c r="R70" s="16">
        <f>IFERROR(INDEX('12_字段字典'!$K:$K,MATCH($B70,'12_字段字典'!$B:$B,0)),"")</f>
        <v/>
      </c>
      <c r="S70" s="16">
        <f>IFERROR(INDEX('12_字段字典'!$L:$L,MATCH($B70,'12_字段字典'!$B:$B,0)),"")</f>
        <v/>
      </c>
      <c r="T70" s="16">
        <f>IFERROR(INDEX('12_字段字典'!$M:$M,MATCH($B70,'12_字段字典'!$B:$B,0)),"")</f>
        <v/>
      </c>
    </row>
    <row r="71" ht="27" customHeight="1" s="30">
      <c r="A71" s="2" t="inlineStr">
        <is>
          <t>E. 制造能耗与工艺</t>
        </is>
      </c>
      <c r="B71" s="2" t="inlineStr">
        <is>
          <t>steam_factor</t>
        </is>
      </c>
      <c r="C71" s="2" t="inlineStr">
        <is>
          <t>蒸汽排放因子</t>
        </is>
      </c>
      <c r="D71" s="2" t="inlineStr">
        <is>
          <t>steam factor</t>
        </is>
      </c>
      <c r="E71" s="2" t="inlineStr">
        <is>
          <t>kgCO2e/MJ</t>
        </is>
      </c>
      <c r="F71" s="3" t="n">
        <v>0.07000000000000001</v>
      </c>
      <c r="G71" s="18" t="n">
        <v>0.07000000000000001</v>
      </c>
      <c r="H71" s="2" t="inlineStr">
        <is>
          <t>模板示例因子</t>
        </is>
      </c>
      <c r="I71" s="2" t="inlineStr">
        <is>
          <t>方法说明/因子库</t>
        </is>
      </c>
      <c r="J71" s="2" t="inlineStr">
        <is>
          <t>EU</t>
        </is>
      </c>
      <c r="K71" s="16">
        <f>IFERROR(INDEX('12_字段字典'!$D:$D,MATCH($B71,'12_字段字典'!$B:$B,0)),"")</f>
        <v/>
      </c>
      <c r="L71" s="16">
        <f>IFERROR(INDEX('12_字段字典'!$E:$E,MATCH($B71,'12_字段字典'!$B:$B,0)),"")</f>
        <v/>
      </c>
      <c r="M71" s="16">
        <f>IFERROR(INDEX('12_字段字典'!$F:$F,MATCH($B71,'12_字段字典'!$B:$B,0)),"")</f>
        <v/>
      </c>
      <c r="N71" s="16">
        <f>IFERROR(INDEX('12_字段字典'!$G:$G,MATCH($B71,'12_字段字典'!$B:$B,0)),"")</f>
        <v/>
      </c>
      <c r="O71" s="16">
        <f>IFERROR(INDEX('12_字段字典'!$H:$H,MATCH($B71,'12_字段字典'!$B:$B,0)),"")</f>
        <v/>
      </c>
      <c r="P71" s="16">
        <f>IFERROR(INDEX('12_字段字典'!$I:$I,MATCH($B71,'12_字段字典'!$B:$B,0)),"")</f>
        <v/>
      </c>
      <c r="Q71" s="16">
        <f>IFERROR(INDEX('12_字段字典'!$J:$J,MATCH($B71,'12_字段字典'!$B:$B,0)),"")</f>
        <v/>
      </c>
      <c r="R71" s="16">
        <f>IFERROR(INDEX('12_字段字典'!$K:$K,MATCH($B71,'12_字段字典'!$B:$B,0)),"")</f>
        <v/>
      </c>
      <c r="S71" s="16">
        <f>IFERROR(INDEX('12_字段字典'!$L:$L,MATCH($B71,'12_字段字典'!$B:$B,0)),"")</f>
        <v/>
      </c>
      <c r="T71" s="16">
        <f>IFERROR(INDEX('12_字段字典'!$M:$M,MATCH($B71,'12_字段字典'!$B:$B,0)),"")</f>
        <v/>
      </c>
    </row>
    <row r="72" ht="27" customHeight="1" s="30">
      <c r="A72" s="2" t="inlineStr">
        <is>
          <t>E. 制造能耗与工艺</t>
        </is>
      </c>
      <c r="B72" s="2" t="inlineStr">
        <is>
          <t>natural_gas_mj</t>
        </is>
      </c>
      <c r="C72" s="2" t="inlineStr">
        <is>
          <t>天然气使用量</t>
        </is>
      </c>
      <c r="D72" s="2" t="inlineStr">
        <is>
          <t>natural gas use</t>
        </is>
      </c>
      <c r="E72" s="2" t="inlineStr">
        <is>
          <t>MJ/declared unit</t>
        </is>
      </c>
      <c r="F72" s="3" t="n">
        <v>120</v>
      </c>
      <c r="G72" s="18" t="n">
        <v>120</v>
      </c>
      <c r="H72" s="2" t="inlineStr">
        <is>
          <t>按当前申报单元分摊后的能源使用量</t>
        </is>
      </c>
      <c r="I72" s="2" t="inlineStr">
        <is>
          <t>燃气台账/发票</t>
        </is>
      </c>
      <c r="J72" s="2" t="inlineStr">
        <is>
          <t>EU</t>
        </is>
      </c>
      <c r="K72" s="16">
        <f>IFERROR(INDEX('12_字段字典'!$D:$D,MATCH($B72,'12_字段字典'!$B:$B,0)),"")</f>
        <v/>
      </c>
      <c r="L72" s="16">
        <f>IFERROR(INDEX('12_字段字典'!$E:$E,MATCH($B72,'12_字段字典'!$B:$B,0)),"")</f>
        <v/>
      </c>
      <c r="M72" s="16">
        <f>IFERROR(INDEX('12_字段字典'!$F:$F,MATCH($B72,'12_字段字典'!$B:$B,0)),"")</f>
        <v/>
      </c>
      <c r="N72" s="16">
        <f>IFERROR(INDEX('12_字段字典'!$G:$G,MATCH($B72,'12_字段字典'!$B:$B,0)),"")</f>
        <v/>
      </c>
      <c r="O72" s="16">
        <f>IFERROR(INDEX('12_字段字典'!$H:$H,MATCH($B72,'12_字段字典'!$B:$B,0)),"")</f>
        <v/>
      </c>
      <c r="P72" s="16">
        <f>IFERROR(INDEX('12_字段字典'!$I:$I,MATCH($B72,'12_字段字典'!$B:$B,0)),"")</f>
        <v/>
      </c>
      <c r="Q72" s="16">
        <f>IFERROR(INDEX('12_字段字典'!$J:$J,MATCH($B72,'12_字段字典'!$B:$B,0)),"")</f>
        <v/>
      </c>
      <c r="R72" s="16">
        <f>IFERROR(INDEX('12_字段字典'!$K:$K,MATCH($B72,'12_字段字典'!$B:$B,0)),"")</f>
        <v/>
      </c>
      <c r="S72" s="16">
        <f>IFERROR(INDEX('12_字段字典'!$L:$L,MATCH($B72,'12_字段字典'!$B:$B,0)),"")</f>
        <v/>
      </c>
      <c r="T72" s="16">
        <f>IFERROR(INDEX('12_字段字典'!$M:$M,MATCH($B72,'12_字段字典'!$B:$B,0)),"")</f>
        <v/>
      </c>
    </row>
    <row r="73" ht="27" customHeight="1" s="30">
      <c r="A73" s="2" t="inlineStr">
        <is>
          <t>E. 制造能耗与工艺</t>
        </is>
      </c>
      <c r="B73" s="2" t="inlineStr">
        <is>
          <t>natural_gas_factor</t>
        </is>
      </c>
      <c r="C73" s="2" t="inlineStr">
        <is>
          <t>天然气排放因子</t>
        </is>
      </c>
      <c r="D73" s="2" t="inlineStr">
        <is>
          <t>natural gas factor</t>
        </is>
      </c>
      <c r="E73" s="2" t="inlineStr">
        <is>
          <t>kgCO2e/MJ</t>
        </is>
      </c>
      <c r="F73" s="3" t="n">
        <v>0.056</v>
      </c>
      <c r="G73" s="18" t="n">
        <v>0.056</v>
      </c>
      <c r="H73" s="2" t="inlineStr">
        <is>
          <t>模板示例因子</t>
        </is>
      </c>
      <c r="I73" s="2" t="inlineStr">
        <is>
          <t>方法说明/因子库</t>
        </is>
      </c>
      <c r="J73" s="2" t="inlineStr">
        <is>
          <t>EU</t>
        </is>
      </c>
      <c r="K73" s="16">
        <f>IFERROR(INDEX('12_字段字典'!$D:$D,MATCH($B73,'12_字段字典'!$B:$B,0)),"")</f>
        <v/>
      </c>
      <c r="L73" s="16">
        <f>IFERROR(INDEX('12_字段字典'!$E:$E,MATCH($B73,'12_字段字典'!$B:$B,0)),"")</f>
        <v/>
      </c>
      <c r="M73" s="16">
        <f>IFERROR(INDEX('12_字段字典'!$F:$F,MATCH($B73,'12_字段字典'!$B:$B,0)),"")</f>
        <v/>
      </c>
      <c r="N73" s="16">
        <f>IFERROR(INDEX('12_字段字典'!$G:$G,MATCH($B73,'12_字段字典'!$B:$B,0)),"")</f>
        <v/>
      </c>
      <c r="O73" s="16">
        <f>IFERROR(INDEX('12_字段字典'!$H:$H,MATCH($B73,'12_字段字典'!$B:$B,0)),"")</f>
        <v/>
      </c>
      <c r="P73" s="16">
        <f>IFERROR(INDEX('12_字段字典'!$I:$I,MATCH($B73,'12_字段字典'!$B:$B,0)),"")</f>
        <v/>
      </c>
      <c r="Q73" s="16">
        <f>IFERROR(INDEX('12_字段字典'!$J:$J,MATCH($B73,'12_字段字典'!$B:$B,0)),"")</f>
        <v/>
      </c>
      <c r="R73" s="16">
        <f>IFERROR(INDEX('12_字段字典'!$K:$K,MATCH($B73,'12_字段字典'!$B:$B,0)),"")</f>
        <v/>
      </c>
      <c r="S73" s="16">
        <f>IFERROR(INDEX('12_字段字典'!$L:$L,MATCH($B73,'12_字段字典'!$B:$B,0)),"")</f>
        <v/>
      </c>
      <c r="T73" s="16">
        <f>IFERROR(INDEX('12_字段字典'!$M:$M,MATCH($B73,'12_字段字典'!$B:$B,0)),"")</f>
        <v/>
      </c>
    </row>
    <row r="74" ht="27" customHeight="1" s="30">
      <c r="A74" s="2" t="inlineStr">
        <is>
          <t>E. 制造能耗与工艺</t>
        </is>
      </c>
      <c r="B74" s="2" t="inlineStr">
        <is>
          <t>direct_process_emissions</t>
        </is>
      </c>
      <c r="C74" s="2" t="inlineStr">
        <is>
          <t>直接工艺排放</t>
        </is>
      </c>
      <c r="D74" s="2" t="inlineStr">
        <is>
          <t>direct process emissions</t>
        </is>
      </c>
      <c r="E74" s="2" t="inlineStr">
        <is>
          <t>kgCO2e/declared unit</t>
        </is>
      </c>
      <c r="F74" s="3" t="n">
        <v>18</v>
      </c>
      <c r="G74" s="18" t="n">
        <v>18</v>
      </c>
      <c r="H74" s="2" t="inlineStr">
        <is>
          <t>按当前申报单元口径记录或分摊的排放结果</t>
        </is>
      </c>
      <c r="I74" s="2" t="inlineStr">
        <is>
          <t>工艺排放记录</t>
        </is>
      </c>
      <c r="J74" s="2" t="inlineStr">
        <is>
          <t>EU</t>
        </is>
      </c>
      <c r="K74" s="16">
        <f>IFERROR(INDEX('12_字段字典'!$D:$D,MATCH($B74,'12_字段字典'!$B:$B,0)),"")</f>
        <v/>
      </c>
      <c r="L74" s="16">
        <f>IFERROR(INDEX('12_字段字典'!$E:$E,MATCH($B74,'12_字段字典'!$B:$B,0)),"")</f>
        <v/>
      </c>
      <c r="M74" s="16">
        <f>IFERROR(INDEX('12_字段字典'!$F:$F,MATCH($B74,'12_字段字典'!$B:$B,0)),"")</f>
        <v/>
      </c>
      <c r="N74" s="16">
        <f>IFERROR(INDEX('12_字段字典'!$G:$G,MATCH($B74,'12_字段字典'!$B:$B,0)),"")</f>
        <v/>
      </c>
      <c r="O74" s="16">
        <f>IFERROR(INDEX('12_字段字典'!$H:$H,MATCH($B74,'12_字段字典'!$B:$B,0)),"")</f>
        <v/>
      </c>
      <c r="P74" s="16">
        <f>IFERROR(INDEX('12_字段字典'!$I:$I,MATCH($B74,'12_字段字典'!$B:$B,0)),"")</f>
        <v/>
      </c>
      <c r="Q74" s="16">
        <f>IFERROR(INDEX('12_字段字典'!$J:$J,MATCH($B74,'12_字段字典'!$B:$B,0)),"")</f>
        <v/>
      </c>
      <c r="R74" s="16">
        <f>IFERROR(INDEX('12_字段字典'!$K:$K,MATCH($B74,'12_字段字典'!$B:$B,0)),"")</f>
        <v/>
      </c>
      <c r="S74" s="16">
        <f>IFERROR(INDEX('12_字段字典'!$L:$L,MATCH($B74,'12_字段字典'!$B:$B,0)),"")</f>
        <v/>
      </c>
      <c r="T74" s="16">
        <f>IFERROR(INDEX('12_字段字典'!$M:$M,MATCH($B74,'12_字段字典'!$B:$B,0)),"")</f>
        <v/>
      </c>
    </row>
    <row r="75" ht="27" customHeight="1" s="30">
      <c r="A75" s="2" t="inlineStr">
        <is>
          <t>E. 制造能耗与工艺</t>
        </is>
      </c>
      <c r="B75" s="2" t="inlineStr">
        <is>
          <t>production_yield_pct</t>
        </is>
      </c>
      <c r="C75" s="2" t="inlineStr">
        <is>
          <t>生产良率</t>
        </is>
      </c>
      <c r="D75" s="2" t="inlineStr">
        <is>
          <t>production yield</t>
        </is>
      </c>
      <c r="E75" s="2" t="inlineStr">
        <is>
          <t>%</t>
        </is>
      </c>
      <c r="F75" s="35" t="n">
        <v>0.9399999999999999</v>
      </c>
      <c r="G75" s="36" t="n">
        <v>0.9399999999999999</v>
      </c>
      <c r="H75" s="2" t="inlineStr">
        <is>
          <t>良率越低单位排放越高</t>
        </is>
      </c>
      <c r="I75" s="2" t="inlineStr">
        <is>
          <t>生产台账/MES</t>
        </is>
      </c>
      <c r="J75" s="2" t="inlineStr">
        <is>
          <t>EU</t>
        </is>
      </c>
      <c r="K75" s="16">
        <f>IFERROR(INDEX('12_字段字典'!$D:$D,MATCH($B75,'12_字段字典'!$B:$B,0)),"")</f>
        <v/>
      </c>
      <c r="L75" s="16">
        <f>IFERROR(INDEX('12_字段字典'!$E:$E,MATCH($B75,'12_字段字典'!$B:$B,0)),"")</f>
        <v/>
      </c>
      <c r="M75" s="16">
        <f>IFERROR(INDEX('12_字段字典'!$F:$F,MATCH($B75,'12_字段字典'!$B:$B,0)),"")</f>
        <v/>
      </c>
      <c r="N75" s="16">
        <f>IFERROR(INDEX('12_字段字典'!$G:$G,MATCH($B75,'12_字段字典'!$B:$B,0)),"")</f>
        <v/>
      </c>
      <c r="O75" s="16">
        <f>IFERROR(INDEX('12_字段字典'!$H:$H,MATCH($B75,'12_字段字典'!$B:$B,0)),"")</f>
        <v/>
      </c>
      <c r="P75" s="16">
        <f>IFERROR(INDEX('12_字段字典'!$I:$I,MATCH($B75,'12_字段字典'!$B:$B,0)),"")</f>
        <v/>
      </c>
      <c r="Q75" s="16">
        <f>IFERROR(INDEX('12_字段字典'!$J:$J,MATCH($B75,'12_字段字典'!$B:$B,0)),"")</f>
        <v/>
      </c>
      <c r="R75" s="16">
        <f>IFERROR(INDEX('12_字段字典'!$K:$K,MATCH($B75,'12_字段字典'!$B:$B,0)),"")</f>
        <v/>
      </c>
      <c r="S75" s="16">
        <f>IFERROR(INDEX('12_字段字典'!$L:$L,MATCH($B75,'12_字段字典'!$B:$B,0)),"")</f>
        <v/>
      </c>
      <c r="T75" s="16">
        <f>IFERROR(INDEX('12_字段字典'!$M:$M,MATCH($B75,'12_字段字典'!$B:$B,0)),"")</f>
        <v/>
      </c>
    </row>
    <row r="76" ht="27" customHeight="1" s="30">
      <c r="A76" s="2" t="inlineStr">
        <is>
          <t>F. 运输与生命周期</t>
        </is>
      </c>
      <c r="B76" s="2" t="inlineStr">
        <is>
          <t>inbound_transport_kgco2</t>
        </is>
      </c>
      <c r="C76" s="2" t="inlineStr">
        <is>
          <t>上游来料运输排放</t>
        </is>
      </c>
      <c r="D76" s="2" t="inlineStr">
        <is>
          <t>inbound transport</t>
        </is>
      </c>
      <c r="E76" s="2" t="inlineStr">
        <is>
          <t>kgCO2e/declared unit</t>
        </is>
      </c>
      <c r="F76" s="3" t="n">
        <v>24</v>
      </c>
      <c r="G76" s="18" t="n">
        <v>24</v>
      </c>
      <c r="H76" s="2" t="inlineStr">
        <is>
          <t>按当前申报单元口径记录或分摊的排放结果</t>
        </is>
      </c>
      <c r="I76" s="2" t="inlineStr">
        <is>
          <t>物流记录</t>
        </is>
      </c>
      <c r="J76" s="2" t="inlineStr">
        <is>
          <t>EU</t>
        </is>
      </c>
      <c r="K76" s="16">
        <f>IFERROR(INDEX('12_字段字典'!$D:$D,MATCH($B76,'12_字段字典'!$B:$B,0)),"")</f>
        <v/>
      </c>
      <c r="L76" s="16">
        <f>IFERROR(INDEX('12_字段字典'!$E:$E,MATCH($B76,'12_字段字典'!$B:$B,0)),"")</f>
        <v/>
      </c>
      <c r="M76" s="16">
        <f>IFERROR(INDEX('12_字段字典'!$F:$F,MATCH($B76,'12_字段字典'!$B:$B,0)),"")</f>
        <v/>
      </c>
      <c r="N76" s="16">
        <f>IFERROR(INDEX('12_字段字典'!$G:$G,MATCH($B76,'12_字段字典'!$B:$B,0)),"")</f>
        <v/>
      </c>
      <c r="O76" s="16">
        <f>IFERROR(INDEX('12_字段字典'!$H:$H,MATCH($B76,'12_字段字典'!$B:$B,0)),"")</f>
        <v/>
      </c>
      <c r="P76" s="16">
        <f>IFERROR(INDEX('12_字段字典'!$I:$I,MATCH($B76,'12_字段字典'!$B:$B,0)),"")</f>
        <v/>
      </c>
      <c r="Q76" s="16">
        <f>IFERROR(INDEX('12_字段字典'!$J:$J,MATCH($B76,'12_字段字典'!$B:$B,0)),"")</f>
        <v/>
      </c>
      <c r="R76" s="16">
        <f>IFERROR(INDEX('12_字段字典'!$K:$K,MATCH($B76,'12_字段字典'!$B:$B,0)),"")</f>
        <v/>
      </c>
      <c r="S76" s="16">
        <f>IFERROR(INDEX('12_字段字典'!$L:$L,MATCH($B76,'12_字段字典'!$B:$B,0)),"")</f>
        <v/>
      </c>
      <c r="T76" s="16">
        <f>IFERROR(INDEX('12_字段字典'!$M:$M,MATCH($B76,'12_字段字典'!$B:$B,0)),"")</f>
        <v/>
      </c>
    </row>
    <row r="77" ht="27" customHeight="1" s="30">
      <c r="A77" s="2" t="inlineStr">
        <is>
          <t>F. 运输与生命周期</t>
        </is>
      </c>
      <c r="B77" s="2" t="inlineStr">
        <is>
          <t>outbound_transport_kgco2</t>
        </is>
      </c>
      <c r="C77" s="2" t="inlineStr">
        <is>
          <t>下游出货运输排放</t>
        </is>
      </c>
      <c r="D77" s="2" t="inlineStr">
        <is>
          <t>outbound transport</t>
        </is>
      </c>
      <c r="E77" s="2" t="inlineStr">
        <is>
          <t>kgCO2e/declared unit</t>
        </is>
      </c>
      <c r="F77" s="3" t="n">
        <v>18</v>
      </c>
      <c r="G77" s="18" t="n">
        <v>18</v>
      </c>
      <c r="H77" s="2" t="inlineStr">
        <is>
          <t>按当前申报单元口径记录或分摊的排放结果</t>
        </is>
      </c>
      <c r="I77" s="2" t="inlineStr">
        <is>
          <t>物流记录</t>
        </is>
      </c>
      <c r="J77" s="2" t="inlineStr">
        <is>
          <t>EU</t>
        </is>
      </c>
      <c r="K77" s="16">
        <f>IFERROR(INDEX('12_字段字典'!$D:$D,MATCH($B77,'12_字段字典'!$B:$B,0)),"")</f>
        <v/>
      </c>
      <c r="L77" s="16">
        <f>IFERROR(INDEX('12_字段字典'!$E:$E,MATCH($B77,'12_字段字典'!$B:$B,0)),"")</f>
        <v/>
      </c>
      <c r="M77" s="16">
        <f>IFERROR(INDEX('12_字段字典'!$F:$F,MATCH($B77,'12_字段字典'!$B:$B,0)),"")</f>
        <v/>
      </c>
      <c r="N77" s="16">
        <f>IFERROR(INDEX('12_字段字典'!$G:$G,MATCH($B77,'12_字段字典'!$B:$B,0)),"")</f>
        <v/>
      </c>
      <c r="O77" s="16">
        <f>IFERROR(INDEX('12_字段字典'!$H:$H,MATCH($B77,'12_字段字典'!$B:$B,0)),"")</f>
        <v/>
      </c>
      <c r="P77" s="16">
        <f>IFERROR(INDEX('12_字段字典'!$I:$I,MATCH($B77,'12_字段字典'!$B:$B,0)),"")</f>
        <v/>
      </c>
      <c r="Q77" s="16">
        <f>IFERROR(INDEX('12_字段字典'!$J:$J,MATCH($B77,'12_字段字典'!$B:$B,0)),"")</f>
        <v/>
      </c>
      <c r="R77" s="16">
        <f>IFERROR(INDEX('12_字段字典'!$K:$K,MATCH($B77,'12_字段字典'!$B:$B,0)),"")</f>
        <v/>
      </c>
      <c r="S77" s="16">
        <f>IFERROR(INDEX('12_字段字典'!$L:$L,MATCH($B77,'12_字段字典'!$B:$B,0)),"")</f>
        <v/>
      </c>
      <c r="T77" s="16">
        <f>IFERROR(INDEX('12_字段字典'!$M:$M,MATCH($B77,'12_字段字典'!$B:$B,0)),"")</f>
        <v/>
      </c>
    </row>
    <row r="78" ht="27" customHeight="1" s="30">
      <c r="A78" s="2" t="inlineStr">
        <is>
          <t>F. 运输与生命周期</t>
        </is>
      </c>
      <c r="B78" s="2" t="inlineStr">
        <is>
          <t>end_of_life_credit_kgco2</t>
        </is>
      </c>
      <c r="C78" s="2" t="inlineStr">
        <is>
          <t>终端回收信用</t>
        </is>
      </c>
      <c r="D78" s="2" t="inlineStr">
        <is>
          <t>end-of-life credit</t>
        </is>
      </c>
      <c r="E78" s="2" t="inlineStr">
        <is>
          <t>kgCO2e/declared unit</t>
        </is>
      </c>
      <c r="F78" s="3" t="n">
        <v>-15</v>
      </c>
      <c r="G78" s="18" t="n">
        <v>-15</v>
      </c>
      <c r="H78" s="2" t="inlineStr">
        <is>
          <t>按当前申报单元口径记录或分摊的排放结果</t>
        </is>
      </c>
      <c r="I78" s="2" t="inlineStr">
        <is>
          <t>回收方案/方法学</t>
        </is>
      </c>
      <c r="J78" s="2" t="inlineStr">
        <is>
          <t>EU</t>
        </is>
      </c>
      <c r="K78" s="16">
        <f>IFERROR(INDEX('12_字段字典'!$D:$D,MATCH($B78,'12_字段字典'!$B:$B,0)),"")</f>
        <v/>
      </c>
      <c r="L78" s="16">
        <f>IFERROR(INDEX('12_字段字典'!$E:$E,MATCH($B78,'12_字段字典'!$B:$B,0)),"")</f>
        <v/>
      </c>
      <c r="M78" s="16">
        <f>IFERROR(INDEX('12_字段字典'!$F:$F,MATCH($B78,'12_字段字典'!$B:$B,0)),"")</f>
        <v/>
      </c>
      <c r="N78" s="16">
        <f>IFERROR(INDEX('12_字段字典'!$G:$G,MATCH($B78,'12_字段字典'!$B:$B,0)),"")</f>
        <v/>
      </c>
      <c r="O78" s="16">
        <f>IFERROR(INDEX('12_字段字典'!$H:$H,MATCH($B78,'12_字段字典'!$B:$B,0)),"")</f>
        <v/>
      </c>
      <c r="P78" s="16">
        <f>IFERROR(INDEX('12_字段字典'!$I:$I,MATCH($B78,'12_字段字典'!$B:$B,0)),"")</f>
        <v/>
      </c>
      <c r="Q78" s="16">
        <f>IFERROR(INDEX('12_字段字典'!$J:$J,MATCH($B78,'12_字段字典'!$B:$B,0)),"")</f>
        <v/>
      </c>
      <c r="R78" s="16">
        <f>IFERROR(INDEX('12_字段字典'!$K:$K,MATCH($B78,'12_字段字典'!$B:$B,0)),"")</f>
        <v/>
      </c>
      <c r="S78" s="16">
        <f>IFERROR(INDEX('12_字段字典'!$L:$L,MATCH($B78,'12_字段字典'!$B:$B,0)),"")</f>
        <v/>
      </c>
      <c r="T78" s="16">
        <f>IFERROR(INDEX('12_字段字典'!$M:$M,MATCH($B78,'12_字段字典'!$B:$B,0)),"")</f>
        <v/>
      </c>
    </row>
    <row r="79" ht="27" customHeight="1" s="30">
      <c r="A79" s="2" t="inlineStr">
        <is>
          <t>G. 再生材料</t>
        </is>
      </c>
      <c r="B79" s="2" t="inlineStr">
        <is>
          <t>recycled_cobalt_pct</t>
        </is>
      </c>
      <c r="C79" s="2" t="inlineStr">
        <is>
          <t>再生钴占比</t>
        </is>
      </c>
      <c r="D79" s="2" t="inlineStr">
        <is>
          <t>recycled cobalt share</t>
        </is>
      </c>
      <c r="E79" s="2" t="inlineStr">
        <is>
          <t>%</t>
        </is>
      </c>
      <c r="F79" s="35" t="n">
        <v>0</v>
      </c>
      <c r="G79" s="36" t="n">
        <v>0</v>
      </c>
      <c r="H79" s="2" t="inlineStr">
        <is>
          <t>LFP 常为 0</t>
        </is>
      </c>
      <c r="I79" s="2" t="inlineStr">
        <is>
          <t>质量平衡/供应商声明</t>
        </is>
      </c>
      <c r="J79" s="2" t="inlineStr">
        <is>
          <t>EU</t>
        </is>
      </c>
      <c r="K79" s="16">
        <f>IFERROR(INDEX('12_字段字典'!$D:$D,MATCH($B79,'12_字段字典'!$B:$B,0)),"")</f>
        <v/>
      </c>
      <c r="L79" s="16">
        <f>IFERROR(INDEX('12_字段字典'!$E:$E,MATCH($B79,'12_字段字典'!$B:$B,0)),"")</f>
        <v/>
      </c>
      <c r="M79" s="16">
        <f>IFERROR(INDEX('12_字段字典'!$F:$F,MATCH($B79,'12_字段字典'!$B:$B,0)),"")</f>
        <v/>
      </c>
      <c r="N79" s="16">
        <f>IFERROR(INDEX('12_字段字典'!$G:$G,MATCH($B79,'12_字段字典'!$B:$B,0)),"")</f>
        <v/>
      </c>
      <c r="O79" s="16">
        <f>IFERROR(INDEX('12_字段字典'!$H:$H,MATCH($B79,'12_字段字典'!$B:$B,0)),"")</f>
        <v/>
      </c>
      <c r="P79" s="16">
        <f>IFERROR(INDEX('12_字段字典'!$I:$I,MATCH($B79,'12_字段字典'!$B:$B,0)),"")</f>
        <v/>
      </c>
      <c r="Q79" s="16">
        <f>IFERROR(INDEX('12_字段字典'!$J:$J,MATCH($B79,'12_字段字典'!$B:$B,0)),"")</f>
        <v/>
      </c>
      <c r="R79" s="16">
        <f>IFERROR(INDEX('12_字段字典'!$K:$K,MATCH($B79,'12_字段字典'!$B:$B,0)),"")</f>
        <v/>
      </c>
      <c r="S79" s="16">
        <f>IFERROR(INDEX('12_字段字典'!$L:$L,MATCH($B79,'12_字段字典'!$B:$B,0)),"")</f>
        <v/>
      </c>
      <c r="T79" s="16">
        <f>IFERROR(INDEX('12_字段字典'!$M:$M,MATCH($B79,'12_字段字典'!$B:$B,0)),"")</f>
        <v/>
      </c>
    </row>
    <row r="80" ht="27" customHeight="1" s="30">
      <c r="A80" s="2" t="inlineStr">
        <is>
          <t>G. 再生材料</t>
        </is>
      </c>
      <c r="B80" s="2" t="inlineStr">
        <is>
          <t>recycled_lithium_pct</t>
        </is>
      </c>
      <c r="C80" s="2" t="inlineStr">
        <is>
          <t>再生锂占比</t>
        </is>
      </c>
      <c r="D80" s="2" t="inlineStr">
        <is>
          <t>recycled lithium share</t>
        </is>
      </c>
      <c r="E80" s="2" t="inlineStr">
        <is>
          <t>%</t>
        </is>
      </c>
      <c r="F80" s="35" t="n">
        <v>0.08</v>
      </c>
      <c r="G80" s="36" t="n">
        <v>0.08</v>
      </c>
      <c r="H80" s="2" t="inlineStr">
        <is>
          <t>欧盟电池法重点项</t>
        </is>
      </c>
      <c r="I80" s="2" t="inlineStr">
        <is>
          <t>质量平衡/供应商声明</t>
        </is>
      </c>
      <c r="J80" s="2" t="inlineStr">
        <is>
          <t>EU</t>
        </is>
      </c>
      <c r="K80" s="16">
        <f>IFERROR(INDEX('12_字段字典'!$D:$D,MATCH($B80,'12_字段字典'!$B:$B,0)),"")</f>
        <v/>
      </c>
      <c r="L80" s="16">
        <f>IFERROR(INDEX('12_字段字典'!$E:$E,MATCH($B80,'12_字段字典'!$B:$B,0)),"")</f>
        <v/>
      </c>
      <c r="M80" s="16">
        <f>IFERROR(INDEX('12_字段字典'!$F:$F,MATCH($B80,'12_字段字典'!$B:$B,0)),"")</f>
        <v/>
      </c>
      <c r="N80" s="16">
        <f>IFERROR(INDEX('12_字段字典'!$G:$G,MATCH($B80,'12_字段字典'!$B:$B,0)),"")</f>
        <v/>
      </c>
      <c r="O80" s="16">
        <f>IFERROR(INDEX('12_字段字典'!$H:$H,MATCH($B80,'12_字段字典'!$B:$B,0)),"")</f>
        <v/>
      </c>
      <c r="P80" s="16">
        <f>IFERROR(INDEX('12_字段字典'!$I:$I,MATCH($B80,'12_字段字典'!$B:$B,0)),"")</f>
        <v/>
      </c>
      <c r="Q80" s="16">
        <f>IFERROR(INDEX('12_字段字典'!$J:$J,MATCH($B80,'12_字段字典'!$B:$B,0)),"")</f>
        <v/>
      </c>
      <c r="R80" s="16">
        <f>IFERROR(INDEX('12_字段字典'!$K:$K,MATCH($B80,'12_字段字典'!$B:$B,0)),"")</f>
        <v/>
      </c>
      <c r="S80" s="16">
        <f>IFERROR(INDEX('12_字段字典'!$L:$L,MATCH($B80,'12_字段字典'!$B:$B,0)),"")</f>
        <v/>
      </c>
      <c r="T80" s="16">
        <f>IFERROR(INDEX('12_字段字典'!$M:$M,MATCH($B80,'12_字段字典'!$B:$B,0)),"")</f>
        <v/>
      </c>
    </row>
    <row r="81" ht="27" customHeight="1" s="30">
      <c r="A81" s="2" t="inlineStr">
        <is>
          <t>G. 再生材料</t>
        </is>
      </c>
      <c r="B81" s="2" t="inlineStr">
        <is>
          <t>recycled_nickel_pct</t>
        </is>
      </c>
      <c r="C81" s="2" t="inlineStr">
        <is>
          <t>再生镍占比</t>
        </is>
      </c>
      <c r="D81" s="2" t="inlineStr">
        <is>
          <t>recycled nickel share</t>
        </is>
      </c>
      <c r="E81" s="2" t="inlineStr">
        <is>
          <t>%</t>
        </is>
      </c>
      <c r="F81" s="35" t="n">
        <v>0</v>
      </c>
      <c r="G81" s="36" t="n">
        <v>0</v>
      </c>
      <c r="H81" s="2" t="inlineStr">
        <is>
          <t>LFP 常为 0</t>
        </is>
      </c>
      <c r="I81" s="2" t="inlineStr">
        <is>
          <t>质量平衡/供应商声明</t>
        </is>
      </c>
      <c r="J81" s="2" t="inlineStr">
        <is>
          <t>EU</t>
        </is>
      </c>
      <c r="K81" s="16">
        <f>IFERROR(INDEX('12_字段字典'!$D:$D,MATCH($B81,'12_字段字典'!$B:$B,0)),"")</f>
        <v/>
      </c>
      <c r="L81" s="16">
        <f>IFERROR(INDEX('12_字段字典'!$E:$E,MATCH($B81,'12_字段字典'!$B:$B,0)),"")</f>
        <v/>
      </c>
      <c r="M81" s="16">
        <f>IFERROR(INDEX('12_字段字典'!$F:$F,MATCH($B81,'12_字段字典'!$B:$B,0)),"")</f>
        <v/>
      </c>
      <c r="N81" s="16">
        <f>IFERROR(INDEX('12_字段字典'!$G:$G,MATCH($B81,'12_字段字典'!$B:$B,0)),"")</f>
        <v/>
      </c>
      <c r="O81" s="16">
        <f>IFERROR(INDEX('12_字段字典'!$H:$H,MATCH($B81,'12_字段字典'!$B:$B,0)),"")</f>
        <v/>
      </c>
      <c r="P81" s="16">
        <f>IFERROR(INDEX('12_字段字典'!$I:$I,MATCH($B81,'12_字段字典'!$B:$B,0)),"")</f>
        <v/>
      </c>
      <c r="Q81" s="16">
        <f>IFERROR(INDEX('12_字段字典'!$J:$J,MATCH($B81,'12_字段字典'!$B:$B,0)),"")</f>
        <v/>
      </c>
      <c r="R81" s="16">
        <f>IFERROR(INDEX('12_字段字典'!$K:$K,MATCH($B81,'12_字段字典'!$B:$B,0)),"")</f>
        <v/>
      </c>
      <c r="S81" s="16">
        <f>IFERROR(INDEX('12_字段字典'!$L:$L,MATCH($B81,'12_字段字典'!$B:$B,0)),"")</f>
        <v/>
      </c>
      <c r="T81" s="16">
        <f>IFERROR(INDEX('12_字段字典'!$M:$M,MATCH($B81,'12_字段字典'!$B:$B,0)),"")</f>
        <v/>
      </c>
    </row>
    <row r="82" ht="27" customHeight="1" s="30">
      <c r="A82" s="2" t="inlineStr">
        <is>
          <t>G. 再生材料</t>
        </is>
      </c>
      <c r="B82" s="2" t="inlineStr">
        <is>
          <t>recycled_lead_pct</t>
        </is>
      </c>
      <c r="C82" s="2" t="inlineStr">
        <is>
          <t>再生铅占比</t>
        </is>
      </c>
      <c r="D82" s="2" t="inlineStr">
        <is>
          <t>recycled lead share</t>
        </is>
      </c>
      <c r="E82" s="2" t="inlineStr">
        <is>
          <t>%</t>
        </is>
      </c>
      <c r="F82" s="35" t="n">
        <v>0</v>
      </c>
      <c r="G82" s="36" t="n">
        <v>0</v>
      </c>
      <c r="H82" s="2" t="inlineStr">
        <is>
          <t>动力电池场景通常较低</t>
        </is>
      </c>
      <c r="I82" s="2" t="inlineStr">
        <is>
          <t>质量平衡/供应商声明</t>
        </is>
      </c>
      <c r="J82" s="2" t="inlineStr">
        <is>
          <t>EU</t>
        </is>
      </c>
      <c r="K82" s="16">
        <f>IFERROR(INDEX('12_字段字典'!$D:$D,MATCH($B82,'12_字段字典'!$B:$B,0)),"")</f>
        <v/>
      </c>
      <c r="L82" s="16">
        <f>IFERROR(INDEX('12_字段字典'!$E:$E,MATCH($B82,'12_字段字典'!$B:$B,0)),"")</f>
        <v/>
      </c>
      <c r="M82" s="16">
        <f>IFERROR(INDEX('12_字段字典'!$F:$F,MATCH($B82,'12_字段字典'!$B:$B,0)),"")</f>
        <v/>
      </c>
      <c r="N82" s="16">
        <f>IFERROR(INDEX('12_字段字典'!$G:$G,MATCH($B82,'12_字段字典'!$B:$B,0)),"")</f>
        <v/>
      </c>
      <c r="O82" s="16">
        <f>IFERROR(INDEX('12_字段字典'!$H:$H,MATCH($B82,'12_字段字典'!$B:$B,0)),"")</f>
        <v/>
      </c>
      <c r="P82" s="16">
        <f>IFERROR(INDEX('12_字段字典'!$I:$I,MATCH($B82,'12_字段字典'!$B:$B,0)),"")</f>
        <v/>
      </c>
      <c r="Q82" s="16">
        <f>IFERROR(INDEX('12_字段字典'!$J:$J,MATCH($B82,'12_字段字典'!$B:$B,0)),"")</f>
        <v/>
      </c>
      <c r="R82" s="16">
        <f>IFERROR(INDEX('12_字段字典'!$K:$K,MATCH($B82,'12_字段字典'!$B:$B,0)),"")</f>
        <v/>
      </c>
      <c r="S82" s="16">
        <f>IFERROR(INDEX('12_字段字典'!$L:$L,MATCH($B82,'12_字段字典'!$B:$B,0)),"")</f>
        <v/>
      </c>
      <c r="T82" s="16">
        <f>IFERROR(INDEX('12_字段字典'!$M:$M,MATCH($B82,'12_字段字典'!$B:$B,0)),"")</f>
        <v/>
      </c>
    </row>
    <row r="83" ht="27" customHeight="1" s="30">
      <c r="A83" s="2" t="inlineStr">
        <is>
          <t>G. 再生材料</t>
        </is>
      </c>
      <c r="B83" s="2" t="inlineStr">
        <is>
          <t>recycled_aluminium_pct</t>
        </is>
      </c>
      <c r="C83" s="2" t="inlineStr">
        <is>
          <t>再生铝占比</t>
        </is>
      </c>
      <c r="D83" s="2" t="inlineStr">
        <is>
          <t>recycled aluminium share</t>
        </is>
      </c>
      <c r="E83" s="2" t="inlineStr">
        <is>
          <t>%</t>
        </is>
      </c>
      <c r="F83" s="35" t="n">
        <v>0.18</v>
      </c>
      <c r="G83" s="36" t="n">
        <v>0.18</v>
      </c>
      <c r="H83" s="2" t="inlineStr">
        <is>
          <t>有助于上游减碳叙事</t>
        </is>
      </c>
      <c r="I83" s="2" t="inlineStr">
        <is>
          <t>质量平衡/供应商声明</t>
        </is>
      </c>
      <c r="J83" s="2" t="inlineStr">
        <is>
          <t>EU+CBAM</t>
        </is>
      </c>
      <c r="K83" s="16">
        <f>IFERROR(INDEX('12_字段字典'!$D:$D,MATCH($B83,'12_字段字典'!$B:$B,0)),"")</f>
        <v/>
      </c>
      <c r="L83" s="16">
        <f>IFERROR(INDEX('12_字段字典'!$E:$E,MATCH($B83,'12_字段字典'!$B:$B,0)),"")</f>
        <v/>
      </c>
      <c r="M83" s="16">
        <f>IFERROR(INDEX('12_字段字典'!$F:$F,MATCH($B83,'12_字段字典'!$B:$B,0)),"")</f>
        <v/>
      </c>
      <c r="N83" s="16">
        <f>IFERROR(INDEX('12_字段字典'!$G:$G,MATCH($B83,'12_字段字典'!$B:$B,0)),"")</f>
        <v/>
      </c>
      <c r="O83" s="16">
        <f>IFERROR(INDEX('12_字段字典'!$H:$H,MATCH($B83,'12_字段字典'!$B:$B,0)),"")</f>
        <v/>
      </c>
      <c r="P83" s="16">
        <f>IFERROR(INDEX('12_字段字典'!$I:$I,MATCH($B83,'12_字段字典'!$B:$B,0)),"")</f>
        <v/>
      </c>
      <c r="Q83" s="16">
        <f>IFERROR(INDEX('12_字段字典'!$J:$J,MATCH($B83,'12_字段字典'!$B:$B,0)),"")</f>
        <v/>
      </c>
      <c r="R83" s="16">
        <f>IFERROR(INDEX('12_字段字典'!$K:$K,MATCH($B83,'12_字段字典'!$B:$B,0)),"")</f>
        <v/>
      </c>
      <c r="S83" s="16">
        <f>IFERROR(INDEX('12_字段字典'!$L:$L,MATCH($B83,'12_字段字典'!$B:$B,0)),"")</f>
        <v/>
      </c>
      <c r="T83" s="16">
        <f>IFERROR(INDEX('12_字段字典'!$M:$M,MATCH($B83,'12_字段字典'!$B:$B,0)),"")</f>
        <v/>
      </c>
    </row>
    <row r="84" ht="27" customHeight="1" s="30">
      <c r="A84" s="2" t="inlineStr">
        <is>
          <t>G. 再生材料</t>
        </is>
      </c>
      <c r="B84" s="2" t="inlineStr">
        <is>
          <t>recycled_steel_pct</t>
        </is>
      </c>
      <c r="C84" s="2" t="inlineStr">
        <is>
          <t>再生钢占比</t>
        </is>
      </c>
      <c r="D84" s="2" t="inlineStr">
        <is>
          <t>recycled steel share</t>
        </is>
      </c>
      <c r="E84" s="2" t="inlineStr">
        <is>
          <t>%</t>
        </is>
      </c>
      <c r="F84" s="35" t="n">
        <v>0.22</v>
      </c>
      <c r="G84" s="36" t="n">
        <v>0.22</v>
      </c>
      <c r="H84" s="2" t="inlineStr">
        <is>
          <t>有助于上游减碳叙事</t>
        </is>
      </c>
      <c r="I84" s="2" t="inlineStr">
        <is>
          <t>质量平衡/供应商声明</t>
        </is>
      </c>
      <c r="J84" s="2" t="inlineStr">
        <is>
          <t>EU+CBAM</t>
        </is>
      </c>
      <c r="K84" s="16">
        <f>IFERROR(INDEX('12_字段字典'!$D:$D,MATCH($B84,'12_字段字典'!$B:$B,0)),"")</f>
        <v/>
      </c>
      <c r="L84" s="16">
        <f>IFERROR(INDEX('12_字段字典'!$E:$E,MATCH($B84,'12_字段字典'!$B:$B,0)),"")</f>
        <v/>
      </c>
      <c r="M84" s="16">
        <f>IFERROR(INDEX('12_字段字典'!$F:$F,MATCH($B84,'12_字段字典'!$B:$B,0)),"")</f>
        <v/>
      </c>
      <c r="N84" s="16">
        <f>IFERROR(INDEX('12_字段字典'!$G:$G,MATCH($B84,'12_字段字典'!$B:$B,0)),"")</f>
        <v/>
      </c>
      <c r="O84" s="16">
        <f>IFERROR(INDEX('12_字段字典'!$H:$H,MATCH($B84,'12_字段字典'!$B:$B,0)),"")</f>
        <v/>
      </c>
      <c r="P84" s="16">
        <f>IFERROR(INDEX('12_字段字典'!$I:$I,MATCH($B84,'12_字段字典'!$B:$B,0)),"")</f>
        <v/>
      </c>
      <c r="Q84" s="16">
        <f>IFERROR(INDEX('12_字段字典'!$J:$J,MATCH($B84,'12_字段字典'!$B:$B,0)),"")</f>
        <v/>
      </c>
      <c r="R84" s="16">
        <f>IFERROR(INDEX('12_字段字典'!$K:$K,MATCH($B84,'12_字段字典'!$B:$B,0)),"")</f>
        <v/>
      </c>
      <c r="S84" s="16">
        <f>IFERROR(INDEX('12_字段字典'!$L:$L,MATCH($B84,'12_字段字典'!$B:$B,0)),"")</f>
        <v/>
      </c>
      <c r="T84" s="16">
        <f>IFERROR(INDEX('12_字段字典'!$M:$M,MATCH($B84,'12_字段字典'!$B:$B,0)),"")</f>
        <v/>
      </c>
    </row>
    <row r="85" ht="27" customHeight="1" s="30">
      <c r="A85" s="2" t="inlineStr">
        <is>
          <t>H. CBAM 影子输入</t>
        </is>
      </c>
      <c r="B85" s="2" t="inlineStr">
        <is>
          <t>aluminium_supplier_installation_id</t>
        </is>
      </c>
      <c r="C85" s="2" t="inlineStr">
        <is>
          <t>铝材供应商安装点 ID</t>
        </is>
      </c>
      <c r="D85" s="2" t="inlineStr">
        <is>
          <t>aluminium installation ID</t>
        </is>
      </c>
      <c r="E85" s="2" t="inlineStr">
        <is>
          <t>文本</t>
        </is>
      </c>
      <c r="F85" s="2" t="inlineStr">
        <is>
          <t>AL-SUP-001</t>
        </is>
      </c>
      <c r="G85" s="15" t="inlineStr">
        <is>
          <t>AL-SUP-001</t>
        </is>
      </c>
      <c r="H85" s="2" t="inlineStr">
        <is>
          <t>借鉴 CBAM installation 逻辑</t>
        </is>
      </c>
      <c r="I85" s="2" t="inlineStr">
        <is>
          <t>供应商安装点主数据</t>
        </is>
      </c>
      <c r="J85" s="2" t="inlineStr">
        <is>
          <t>CBAM</t>
        </is>
      </c>
      <c r="K85" s="16">
        <f>IFERROR(INDEX('12_字段字典'!$D:$D,MATCH($B85,'12_字段字典'!$B:$B,0)),"")</f>
        <v/>
      </c>
      <c r="L85" s="16">
        <f>IFERROR(INDEX('12_字段字典'!$E:$E,MATCH($B85,'12_字段字典'!$B:$B,0)),"")</f>
        <v/>
      </c>
      <c r="M85" s="16">
        <f>IFERROR(INDEX('12_字段字典'!$F:$F,MATCH($B85,'12_字段字典'!$B:$B,0)),"")</f>
        <v/>
      </c>
      <c r="N85" s="16">
        <f>IFERROR(INDEX('12_字段字典'!$G:$G,MATCH($B85,'12_字段字典'!$B:$B,0)),"")</f>
        <v/>
      </c>
      <c r="O85" s="16">
        <f>IFERROR(INDEX('12_字段字典'!$H:$H,MATCH($B85,'12_字段字典'!$B:$B,0)),"")</f>
        <v/>
      </c>
      <c r="P85" s="16">
        <f>IFERROR(INDEX('12_字段字典'!$I:$I,MATCH($B85,'12_字段字典'!$B:$B,0)),"")</f>
        <v/>
      </c>
      <c r="Q85" s="16">
        <f>IFERROR(INDEX('12_字段字典'!$J:$J,MATCH($B85,'12_字段字典'!$B:$B,0)),"")</f>
        <v/>
      </c>
      <c r="R85" s="16">
        <f>IFERROR(INDEX('12_字段字典'!$K:$K,MATCH($B85,'12_字段字典'!$B:$B,0)),"")</f>
        <v/>
      </c>
      <c r="S85" s="16">
        <f>IFERROR(INDEX('12_字段字典'!$L:$L,MATCH($B85,'12_字段字典'!$B:$B,0)),"")</f>
        <v/>
      </c>
      <c r="T85" s="16">
        <f>IFERROR(INDEX('12_字段字典'!$M:$M,MATCH($B85,'12_字段字典'!$B:$B,0)),"")</f>
        <v/>
      </c>
    </row>
    <row r="86" ht="27" customHeight="1" s="30">
      <c r="A86" s="2" t="inlineStr">
        <is>
          <t>H. CBAM 影子输入</t>
        </is>
      </c>
      <c r="B86" s="2" t="inlineStr">
        <is>
          <t>steel_supplier_installation_id</t>
        </is>
      </c>
      <c r="C86" s="2" t="inlineStr">
        <is>
          <t>钢材供应商安装点 ID</t>
        </is>
      </c>
      <c r="D86" s="2" t="inlineStr">
        <is>
          <t>steel installation ID</t>
        </is>
      </c>
      <c r="E86" s="2" t="inlineStr">
        <is>
          <t>文本</t>
        </is>
      </c>
      <c r="F86" s="2" t="inlineStr">
        <is>
          <t>ST-SUP-001</t>
        </is>
      </c>
      <c r="G86" s="15" t="inlineStr">
        <is>
          <t>ST-SUP-001</t>
        </is>
      </c>
      <c r="H86" s="2" t="inlineStr">
        <is>
          <t>借鉴 CBAM installation 逻辑</t>
        </is>
      </c>
      <c r="I86" s="2" t="inlineStr">
        <is>
          <t>供应商安装点主数据</t>
        </is>
      </c>
      <c r="J86" s="2" t="inlineStr">
        <is>
          <t>CBAM</t>
        </is>
      </c>
      <c r="K86" s="16">
        <f>IFERROR(INDEX('12_字段字典'!$D:$D,MATCH($B86,'12_字段字典'!$B:$B,0)),"")</f>
        <v/>
      </c>
      <c r="L86" s="16">
        <f>IFERROR(INDEX('12_字段字典'!$E:$E,MATCH($B86,'12_字段字典'!$B:$B,0)),"")</f>
        <v/>
      </c>
      <c r="M86" s="16">
        <f>IFERROR(INDEX('12_字段字典'!$F:$F,MATCH($B86,'12_字段字典'!$B:$B,0)),"")</f>
        <v/>
      </c>
      <c r="N86" s="16">
        <f>IFERROR(INDEX('12_字段字典'!$G:$G,MATCH($B86,'12_字段字典'!$B:$B,0)),"")</f>
        <v/>
      </c>
      <c r="O86" s="16">
        <f>IFERROR(INDEX('12_字段字典'!$H:$H,MATCH($B86,'12_字段字典'!$B:$B,0)),"")</f>
        <v/>
      </c>
      <c r="P86" s="16">
        <f>IFERROR(INDEX('12_字段字典'!$I:$I,MATCH($B86,'12_字段字典'!$B:$B,0)),"")</f>
        <v/>
      </c>
      <c r="Q86" s="16">
        <f>IFERROR(INDEX('12_字段字典'!$J:$J,MATCH($B86,'12_字段字典'!$B:$B,0)),"")</f>
        <v/>
      </c>
      <c r="R86" s="16">
        <f>IFERROR(INDEX('12_字段字典'!$K:$K,MATCH($B86,'12_字段字典'!$B:$B,0)),"")</f>
        <v/>
      </c>
      <c r="S86" s="16">
        <f>IFERROR(INDEX('12_字段字典'!$L:$L,MATCH($B86,'12_字段字典'!$B:$B,0)),"")</f>
        <v/>
      </c>
      <c r="T86" s="16">
        <f>IFERROR(INDEX('12_字段字典'!$M:$M,MATCH($B86,'12_字段字典'!$B:$B,0)),"")</f>
        <v/>
      </c>
    </row>
    <row r="87" ht="27" customHeight="1" s="30">
      <c r="A87" s="2" t="inlineStr">
        <is>
          <t>H. CBAM 影子输入</t>
        </is>
      </c>
      <c r="B87" s="2" t="inlineStr">
        <is>
          <t>upstream_reporting_period</t>
        </is>
      </c>
      <c r="C87" s="2" t="inlineStr">
        <is>
          <t>上游材料报告期</t>
        </is>
      </c>
      <c r="D87" s="2" t="inlineStr">
        <is>
          <t>upstream reporting period</t>
        </is>
      </c>
      <c r="E87" s="2" t="inlineStr">
        <is>
          <t>文本</t>
        </is>
      </c>
      <c r="F87" s="2" t="inlineStr">
        <is>
          <t>2025Q4</t>
        </is>
      </c>
      <c r="G87" s="15" t="inlineStr">
        <is>
          <t>2025Q4</t>
        </is>
      </c>
      <c r="H87" s="2" t="inlineStr">
        <is>
          <t>最好与产品报告期对齐</t>
        </is>
      </c>
      <c r="I87" s="2" t="inlineStr">
        <is>
          <t>供应商报告期记录</t>
        </is>
      </c>
      <c r="J87" s="2" t="inlineStr">
        <is>
          <t>CBAM</t>
        </is>
      </c>
      <c r="K87" s="16">
        <f>IFERROR(INDEX('12_字段字典'!$D:$D,MATCH($B87,'12_字段字典'!$B:$B,0)),"")</f>
        <v/>
      </c>
      <c r="L87" s="16">
        <f>IFERROR(INDEX('12_字段字典'!$E:$E,MATCH($B87,'12_字段字典'!$B:$B,0)),"")</f>
        <v/>
      </c>
      <c r="M87" s="16">
        <f>IFERROR(INDEX('12_字段字典'!$F:$F,MATCH($B87,'12_字段字典'!$B:$B,0)),"")</f>
        <v/>
      </c>
      <c r="N87" s="16">
        <f>IFERROR(INDEX('12_字段字典'!$G:$G,MATCH($B87,'12_字段字典'!$B:$B,0)),"")</f>
        <v/>
      </c>
      <c r="O87" s="16">
        <f>IFERROR(INDEX('12_字段字典'!$H:$H,MATCH($B87,'12_字段字典'!$B:$B,0)),"")</f>
        <v/>
      </c>
      <c r="P87" s="16">
        <f>IFERROR(INDEX('12_字段字典'!$I:$I,MATCH($B87,'12_字段字典'!$B:$B,0)),"")</f>
        <v/>
      </c>
      <c r="Q87" s="16">
        <f>IFERROR(INDEX('12_字段字典'!$J:$J,MATCH($B87,'12_字段字典'!$B:$B,0)),"")</f>
        <v/>
      </c>
      <c r="R87" s="16">
        <f>IFERROR(INDEX('12_字段字典'!$K:$K,MATCH($B87,'12_字段字典'!$B:$B,0)),"")</f>
        <v/>
      </c>
      <c r="S87" s="16">
        <f>IFERROR(INDEX('12_字段字典'!$L:$L,MATCH($B87,'12_字段字典'!$B:$B,0)),"")</f>
        <v/>
      </c>
      <c r="T87" s="16">
        <f>IFERROR(INDEX('12_字段字典'!$M:$M,MATCH($B87,'12_字段字典'!$B:$B,0)),"")</f>
        <v/>
      </c>
    </row>
    <row r="88" ht="27" customHeight="1" s="30">
      <c r="A88" s="2" t="inlineStr">
        <is>
          <t>H. CBAM 影子输入</t>
        </is>
      </c>
      <c r="B88" s="2" t="inlineStr">
        <is>
          <t>aluminium_verifier_status</t>
        </is>
      </c>
      <c r="C88" s="2" t="inlineStr">
        <is>
          <t>铝材核验状态</t>
        </is>
      </c>
      <c r="D88" s="2" t="inlineStr">
        <is>
          <t>aluminium verifier status</t>
        </is>
      </c>
      <c r="E88" s="2" t="inlineStr">
        <is>
          <t>文本</t>
        </is>
      </c>
      <c r="F88" s="2" t="inlineStr">
        <is>
          <t>已核验</t>
        </is>
      </c>
      <c r="G88" s="15" t="inlineStr">
        <is>
          <t>已核验</t>
        </is>
      </c>
      <c r="H88" s="2" t="inlineStr">
        <is>
          <t>体现 verifier discipline</t>
        </is>
      </c>
      <c r="I88" s="2" t="inlineStr">
        <is>
          <t>供应商核验报告</t>
        </is>
      </c>
      <c r="J88" s="2" t="inlineStr">
        <is>
          <t>CBAM</t>
        </is>
      </c>
      <c r="K88" s="16">
        <f>IFERROR(INDEX('12_字段字典'!$D:$D,MATCH($B88,'12_字段字典'!$B:$B,0)),"")</f>
        <v/>
      </c>
      <c r="L88" s="16">
        <f>IFERROR(INDEX('12_字段字典'!$E:$E,MATCH($B88,'12_字段字典'!$B:$B,0)),"")</f>
        <v/>
      </c>
      <c r="M88" s="16">
        <f>IFERROR(INDEX('12_字段字典'!$F:$F,MATCH($B88,'12_字段字典'!$B:$B,0)),"")</f>
        <v/>
      </c>
      <c r="N88" s="16">
        <f>IFERROR(INDEX('12_字段字典'!$G:$G,MATCH($B88,'12_字段字典'!$B:$B,0)),"")</f>
        <v/>
      </c>
      <c r="O88" s="16">
        <f>IFERROR(INDEX('12_字段字典'!$H:$H,MATCH($B88,'12_字段字典'!$B:$B,0)),"")</f>
        <v/>
      </c>
      <c r="P88" s="16">
        <f>IFERROR(INDEX('12_字段字典'!$I:$I,MATCH($B88,'12_字段字典'!$B:$B,0)),"")</f>
        <v/>
      </c>
      <c r="Q88" s="16">
        <f>IFERROR(INDEX('12_字段字典'!$J:$J,MATCH($B88,'12_字段字典'!$B:$B,0)),"")</f>
        <v/>
      </c>
      <c r="R88" s="16">
        <f>IFERROR(INDEX('12_字段字典'!$K:$K,MATCH($B88,'12_字段字典'!$B:$B,0)),"")</f>
        <v/>
      </c>
      <c r="S88" s="16">
        <f>IFERROR(INDEX('12_字段字典'!$L:$L,MATCH($B88,'12_字段字典'!$B:$B,0)),"")</f>
        <v/>
      </c>
      <c r="T88" s="16">
        <f>IFERROR(INDEX('12_字段字典'!$M:$M,MATCH($B88,'12_字段字典'!$B:$B,0)),"")</f>
        <v/>
      </c>
    </row>
    <row r="89" ht="27" customHeight="1" s="30">
      <c r="A89" s="2" t="inlineStr">
        <is>
          <t>H. CBAM 影子输入</t>
        </is>
      </c>
      <c r="B89" s="2" t="inlineStr">
        <is>
          <t>steel_verifier_status</t>
        </is>
      </c>
      <c r="C89" s="2" t="inlineStr">
        <is>
          <t>钢材核验状态</t>
        </is>
      </c>
      <c r="D89" s="2" t="inlineStr">
        <is>
          <t>steel verifier status</t>
        </is>
      </c>
      <c r="E89" s="2" t="inlineStr">
        <is>
          <t>文本</t>
        </is>
      </c>
      <c r="F89" s="2" t="inlineStr">
        <is>
          <t>已核验</t>
        </is>
      </c>
      <c r="G89" s="15" t="inlineStr">
        <is>
          <t>已核验</t>
        </is>
      </c>
      <c r="H89" s="2" t="inlineStr">
        <is>
          <t>体现 verifier discipline</t>
        </is>
      </c>
      <c r="I89" s="2" t="inlineStr">
        <is>
          <t>供应商核验报告</t>
        </is>
      </c>
      <c r="J89" s="2" t="inlineStr">
        <is>
          <t>CBAM</t>
        </is>
      </c>
      <c r="K89" s="16">
        <f>IFERROR(INDEX('12_字段字典'!$D:$D,MATCH($B89,'12_字段字典'!$B:$B,0)),"")</f>
        <v/>
      </c>
      <c r="L89" s="16">
        <f>IFERROR(INDEX('12_字段字典'!$E:$E,MATCH($B89,'12_字段字典'!$B:$B,0)),"")</f>
        <v/>
      </c>
      <c r="M89" s="16">
        <f>IFERROR(INDEX('12_字段字典'!$F:$F,MATCH($B89,'12_字段字典'!$B:$B,0)),"")</f>
        <v/>
      </c>
      <c r="N89" s="16">
        <f>IFERROR(INDEX('12_字段字典'!$G:$G,MATCH($B89,'12_字段字典'!$B:$B,0)),"")</f>
        <v/>
      </c>
      <c r="O89" s="16">
        <f>IFERROR(INDEX('12_字段字典'!$H:$H,MATCH($B89,'12_字段字典'!$B:$B,0)),"")</f>
        <v/>
      </c>
      <c r="P89" s="16">
        <f>IFERROR(INDEX('12_字段字典'!$I:$I,MATCH($B89,'12_字段字典'!$B:$B,0)),"")</f>
        <v/>
      </c>
      <c r="Q89" s="16">
        <f>IFERROR(INDEX('12_字段字典'!$J:$J,MATCH($B89,'12_字段字典'!$B:$B,0)),"")</f>
        <v/>
      </c>
      <c r="R89" s="16">
        <f>IFERROR(INDEX('12_字段字典'!$K:$K,MATCH($B89,'12_字段字典'!$B:$B,0)),"")</f>
        <v/>
      </c>
      <c r="S89" s="16">
        <f>IFERROR(INDEX('12_字段字典'!$L:$L,MATCH($B89,'12_字段字典'!$B:$B,0)),"")</f>
        <v/>
      </c>
      <c r="T89" s="16">
        <f>IFERROR(INDEX('12_字段字典'!$M:$M,MATCH($B89,'12_字段字典'!$B:$B,0)),"")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:T89"/>
  <mergeCells count="2">
    <mergeCell ref="A1:J1"/>
    <mergeCell ref="A2:J2"/>
  </mergeCells>
  <dataValidations count="4">
    <dataValidation sqref="G18:G23 G30:G35 G37:G42 G69:G70 G81:G82 G88:G89" showDropDown="0" showInputMessage="0" showErrorMessage="0" allowBlank="1" type="list">
      <formula1>"齐备,部分齐备,待补充,已核验,未核验,待生成,已完成,未完成"</formula1>
    </dataValidation>
    <dataValidation sqref="G24:G25 G36:G37 G43:G44 G56 G60:G65 G68 G72:G77 G79:G84" showDropDown="0" showInputMessage="0" showErrorMessage="0" allowBlank="1" type="decimal">
      <formula1>0</formula1>
      <formula2>1</formula2>
    </dataValidation>
    <dataValidation sqref="G12:G14 G24:G26 G31:G33" showDropDown="0" showInputMessage="0" showErrorMessage="0" allowBlank="1" type="decimal" operator="greaterThan">
      <formula1>0</formula1>
    </dataValidation>
    <dataValidation sqref="G14:G15 G20 G27:G74 G76:G78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4" customWidth="1" style="30" min="1" max="1"/>
    <col width="30" customWidth="1" style="30" min="2" max="2"/>
    <col width="16" customWidth="1" style="30" min="3" max="3"/>
    <col width="18" customWidth="1" style="30" min="4" max="4"/>
    <col width="16" customWidth="1" style="30" min="5" max="5"/>
    <col width="18" customWidth="1" style="30" min="6" max="7"/>
    <col width="12" customWidth="1" style="30" min="8" max="8"/>
  </cols>
  <sheetData>
    <row r="1">
      <c r="A1" s="32" t="inlineStr">
        <is>
          <t>02_欧盟电池法输出（全部自动公式）</t>
        </is>
      </c>
      <c r="B1" s="27" t="n"/>
      <c r="C1" s="27" t="n"/>
      <c r="D1" s="27" t="n"/>
      <c r="E1" s="27" t="n"/>
      <c r="F1" s="27" t="n"/>
      <c r="G1" s="27" t="n"/>
      <c r="H1" s="28" t="n"/>
    </row>
    <row r="2">
      <c r="A2" s="31" t="inlineStr">
        <is>
          <t>说明：本 Sheet 不允许手动输入，只展示系统自动生成的结果。</t>
        </is>
      </c>
    </row>
    <row r="3">
      <c r="A3" s="1" t="inlineStr">
        <is>
          <t>模块</t>
        </is>
      </c>
      <c r="B3" s="1" t="inlineStr">
        <is>
          <t>输出字段</t>
        </is>
      </c>
      <c r="C3" s="1" t="inlineStr">
        <is>
          <t>单位</t>
        </is>
      </c>
      <c r="D3" s="1" t="inlineStr">
        <is>
          <t>自动输出值</t>
        </is>
      </c>
      <c r="E3" s="1" t="inlineStr">
        <is>
          <t>证据状态</t>
        </is>
      </c>
      <c r="F3" s="1" t="inlineStr">
        <is>
          <t>核验层级</t>
        </is>
      </c>
      <c r="G3" s="1" t="inlineStr">
        <is>
          <t>访问层级</t>
        </is>
      </c>
      <c r="H3" s="1" t="inlineStr">
        <is>
          <t>当前状态</t>
        </is>
      </c>
    </row>
    <row r="4">
      <c r="A4" s="2" t="inlineStr">
        <is>
          <t>基本信息</t>
        </is>
      </c>
      <c r="B4" s="2" t="inlineStr">
        <is>
          <t>制造商名称</t>
        </is>
      </c>
      <c r="C4" s="2" t="inlineStr">
        <is>
          <t>文本</t>
        </is>
      </c>
      <c r="D4" s="34">
        <f>IFERROR(INDEX('09_EU中间表'!$D:$D,MATCH(B4,'09_EU中间表'!$B:$B,0)),"")</f>
        <v/>
      </c>
      <c r="E4" s="34">
        <f>IFERROR(INDEX('05_证据映射过程'!$E:$E,MATCH(B4,'05_证据映射过程'!$B:$B,0)),"不适用/默认")</f>
        <v/>
      </c>
      <c r="F4" s="34">
        <f>IFERROR(INDEX('06_核验映射过程'!$D:$D,MATCH(B4,'06_核验映射过程'!$B:$B,0)),"默认")</f>
        <v/>
      </c>
      <c r="G4" s="34">
        <f>IFERROR(INDEX('07_权限映射过程'!$D:$D,MATCH(B4,'07_权限映射过程'!$B:$B,0)),"默认")</f>
        <v/>
      </c>
      <c r="H4" s="34">
        <f>IF(D4="","待生成","已生成")</f>
        <v/>
      </c>
    </row>
    <row r="5">
      <c r="A5" s="2" t="inlineStr">
        <is>
          <t>基本信息</t>
        </is>
      </c>
      <c r="B5" s="2" t="inlineStr">
        <is>
          <t>产品名称</t>
        </is>
      </c>
      <c r="C5" s="2" t="inlineStr">
        <is>
          <t>文本</t>
        </is>
      </c>
      <c r="D5" s="34">
        <f>IFERROR(INDEX('09_EU中间表'!$D:$D,MATCH(B5,'09_EU中间表'!$B:$B,0)),"")</f>
        <v/>
      </c>
      <c r="E5" s="34">
        <f>IFERROR(INDEX('05_证据映射过程'!$E:$E,MATCH(B5,'05_证据映射过程'!$B:$B,0)),"不适用/默认")</f>
        <v/>
      </c>
      <c r="F5" s="34">
        <f>IFERROR(INDEX('06_核验映射过程'!$D:$D,MATCH(B5,'06_核验映射过程'!$B:$B,0)),"默认")</f>
        <v/>
      </c>
      <c r="G5" s="34">
        <f>IFERROR(INDEX('07_权限映射过程'!$D:$D,MATCH(B5,'07_权限映射过程'!$B:$B,0)),"默认")</f>
        <v/>
      </c>
      <c r="H5" s="34">
        <f>IF(D5="","待生成","已生成")</f>
        <v/>
      </c>
    </row>
    <row r="6">
      <c r="A6" s="2" t="inlineStr">
        <is>
          <t>基本信息</t>
        </is>
      </c>
      <c r="B6" s="2" t="inlineStr">
        <is>
          <t>电池型号</t>
        </is>
      </c>
      <c r="C6" s="2" t="inlineStr">
        <is>
          <t>文本</t>
        </is>
      </c>
      <c r="D6" s="34">
        <f>IFERROR(INDEX('09_EU中间表'!$D:$D,MATCH(B6,'09_EU中间表'!$B:$B,0)),"")</f>
        <v/>
      </c>
      <c r="E6" s="34">
        <f>IFERROR(INDEX('05_证据映射过程'!$E:$E,MATCH(B6,'05_证据映射过程'!$B:$B,0)),"不适用/默认")</f>
        <v/>
      </c>
      <c r="F6" s="34">
        <f>IFERROR(INDEX('06_核验映射过程'!$D:$D,MATCH(B6,'06_核验映射过程'!$B:$B,0)),"默认")</f>
        <v/>
      </c>
      <c r="G6" s="34">
        <f>IFERROR(INDEX('07_权限映射过程'!$D:$D,MATCH(B6,'07_权限映射过程'!$B:$B,0)),"默认")</f>
        <v/>
      </c>
      <c r="H6" s="34">
        <f>IF(D6="","待生成","已生成")</f>
        <v/>
      </c>
    </row>
    <row r="7">
      <c r="A7" s="2" t="inlineStr">
        <is>
          <t>基本信息</t>
        </is>
      </c>
      <c r="B7" s="2" t="inlineStr">
        <is>
          <t>产品类别</t>
        </is>
      </c>
      <c r="C7" s="2" t="inlineStr">
        <is>
          <t>文本</t>
        </is>
      </c>
      <c r="D7" s="34">
        <f>IFERROR(INDEX('09_EU中间表'!$D:$D,MATCH(B7,'09_EU中间表'!$B:$B,0)),"")</f>
        <v/>
      </c>
      <c r="E7" s="34">
        <f>IFERROR(INDEX('05_证据映射过程'!$E:$E,MATCH(B7,'05_证据映射过程'!$B:$B,0)),"不适用/默认")</f>
        <v/>
      </c>
      <c r="F7" s="34">
        <f>IFERROR(INDEX('06_核验映射过程'!$D:$D,MATCH(B7,'06_核验映射过程'!$B:$B,0)),"默认")</f>
        <v/>
      </c>
      <c r="G7" s="34">
        <f>IFERROR(INDEX('07_权限映射过程'!$D:$D,MATCH(B7,'07_权限映射过程'!$B:$B,0)),"默认")</f>
        <v/>
      </c>
      <c r="H7" s="34">
        <f>IF(D7="","待生成","已生成")</f>
        <v/>
      </c>
    </row>
    <row r="8">
      <c r="A8" s="2" t="inlineStr">
        <is>
          <t>基本信息</t>
        </is>
      </c>
      <c r="B8" s="2" t="inlineStr">
        <is>
          <t>化学体系</t>
        </is>
      </c>
      <c r="C8" s="2" t="inlineStr">
        <is>
          <t>文本</t>
        </is>
      </c>
      <c r="D8" s="34">
        <f>IFERROR(INDEX('09_EU中间表'!$D:$D,MATCH(B8,'09_EU中间表'!$B:$B,0)),"")</f>
        <v/>
      </c>
      <c r="E8" s="34">
        <f>IFERROR(INDEX('05_证据映射过程'!$E:$E,MATCH(B8,'05_证据映射过程'!$B:$B,0)),"不适用/默认")</f>
        <v/>
      </c>
      <c r="F8" s="34">
        <f>IFERROR(INDEX('06_核验映射过程'!$D:$D,MATCH(B8,'06_核验映射过程'!$B:$B,0)),"默认")</f>
        <v/>
      </c>
      <c r="G8" s="34">
        <f>IFERROR(INDEX('07_权限映射过程'!$D:$D,MATCH(B8,'07_权限映射过程'!$B:$B,0)),"默认")</f>
        <v/>
      </c>
      <c r="H8" s="34">
        <f>IF(D8="","待生成","已生成")</f>
        <v/>
      </c>
    </row>
    <row r="9">
      <c r="A9" s="2" t="inlineStr">
        <is>
          <t>基本信息</t>
        </is>
      </c>
      <c r="B9" s="2" t="inlineStr">
        <is>
          <t>制造工厂代码</t>
        </is>
      </c>
      <c r="C9" s="2" t="inlineStr">
        <is>
          <t>文本</t>
        </is>
      </c>
      <c r="D9" s="34">
        <f>IFERROR(INDEX('09_EU中间表'!$D:$D,MATCH(B9,'09_EU中间表'!$B:$B,0)),"")</f>
        <v/>
      </c>
      <c r="E9" s="34">
        <f>IFERROR(INDEX('05_证据映射过程'!$E:$E,MATCH(B9,'05_证据映射过程'!$B:$B,0)),"不适用/默认")</f>
        <v/>
      </c>
      <c r="F9" s="34">
        <f>IFERROR(INDEX('06_核验映射过程'!$D:$D,MATCH(B9,'06_核验映射过程'!$B:$B,0)),"默认")</f>
        <v/>
      </c>
      <c r="G9" s="34">
        <f>IFERROR(INDEX('07_权限映射过程'!$D:$D,MATCH(B9,'07_权限映射过程'!$B:$B,0)),"默认")</f>
        <v/>
      </c>
      <c r="H9" s="34">
        <f>IF(D9="","待生成","已生成")</f>
        <v/>
      </c>
    </row>
    <row r="10">
      <c r="A10" s="2" t="inlineStr">
        <is>
          <t>基本信息</t>
        </is>
      </c>
      <c r="B10" s="2" t="inlineStr">
        <is>
          <t>制造工厂名称</t>
        </is>
      </c>
      <c r="C10" s="2" t="inlineStr">
        <is>
          <t>文本</t>
        </is>
      </c>
      <c r="D10" s="34">
        <f>IFERROR(INDEX('09_EU中间表'!$D:$D,MATCH(B10,'09_EU中间表'!$B:$B,0)),"")</f>
        <v/>
      </c>
      <c r="E10" s="34">
        <f>IFERROR(INDEX('05_证据映射过程'!$E:$E,MATCH(B10,'05_证据映射过程'!$B:$B,0)),"不适用/默认")</f>
        <v/>
      </c>
      <c r="F10" s="34">
        <f>IFERROR(INDEX('06_核验映射过程'!$D:$D,MATCH(B10,'06_核验映射过程'!$B:$B,0)),"默认")</f>
        <v/>
      </c>
      <c r="G10" s="34">
        <f>IFERROR(INDEX('07_权限映射过程'!$D:$D,MATCH(B10,'07_权限映射过程'!$B:$B,0)),"默认")</f>
        <v/>
      </c>
      <c r="H10" s="34">
        <f>IF(D10="","待生成","已生成")</f>
        <v/>
      </c>
    </row>
    <row r="11">
      <c r="A11" s="2" t="inlineStr">
        <is>
          <t>基本信息</t>
        </is>
      </c>
      <c r="B11" s="2" t="inlineStr">
        <is>
          <t>报告期</t>
        </is>
      </c>
      <c r="C11" s="2" t="inlineStr">
        <is>
          <t>文本</t>
        </is>
      </c>
      <c r="D11" s="34">
        <f>IFERROR(INDEX('09_EU中间表'!$D:$D,MATCH(B11,'09_EU中间表'!$B:$B,0)),"")</f>
        <v/>
      </c>
      <c r="E11" s="34">
        <f>IFERROR(INDEX('05_证据映射过程'!$E:$E,MATCH(B11,'05_证据映射过程'!$B:$B,0)),"不适用/默认")</f>
        <v/>
      </c>
      <c r="F11" s="34">
        <f>IFERROR(INDEX('06_核验映射过程'!$D:$D,MATCH(B11,'06_核验映射过程'!$B:$B,0)),"默认")</f>
        <v/>
      </c>
      <c r="G11" s="34">
        <f>IFERROR(INDEX('07_权限映射过程'!$D:$D,MATCH(B11,'07_权限映射过程'!$B:$B,0)),"默认")</f>
        <v/>
      </c>
      <c r="H11" s="34">
        <f>IF(D11="","待生成","已生成")</f>
        <v/>
      </c>
    </row>
    <row r="12">
      <c r="A12" s="2" t="inlineStr">
        <is>
          <t>产品参数</t>
        </is>
      </c>
      <c r="B12" s="2" t="inlineStr">
        <is>
          <t>申报单元申报单元额定容量(kWh)</t>
        </is>
      </c>
      <c r="C12" s="2" t="inlineStr">
        <is>
          <t>kWh</t>
        </is>
      </c>
      <c r="D12" s="34">
        <f>IFERROR(INDEX('09_EU中间表'!$D:$D,MATCH(B12,'09_EU中间表'!$B:$B,0)),"")</f>
        <v/>
      </c>
      <c r="E12" s="34">
        <f>IFERROR(INDEX('05_证据映射过程'!$E:$E,MATCH(B12,'05_证据映射过程'!$B:$B,0)),"不适用/默认")</f>
        <v/>
      </c>
      <c r="F12" s="34">
        <f>IFERROR(INDEX('06_核验映射过程'!$D:$D,MATCH(B12,'06_核验映射过程'!$B:$B,0)),"默认")</f>
        <v/>
      </c>
      <c r="G12" s="34">
        <f>IFERROR(INDEX('07_权限映射过程'!$D:$D,MATCH(B12,'07_权限映射过程'!$B:$B,0)),"默认")</f>
        <v/>
      </c>
      <c r="H12" s="34">
        <f>IF(D12="","待生成","已生成")</f>
        <v/>
      </c>
    </row>
    <row r="13">
      <c r="A13" s="2" t="inlineStr">
        <is>
          <t>产品参数</t>
        </is>
      </c>
      <c r="B13" s="2" t="inlineStr">
        <is>
          <t>标称电压(V)</t>
        </is>
      </c>
      <c r="C13" s="2" t="inlineStr">
        <is>
          <t>V</t>
        </is>
      </c>
      <c r="D13" s="34">
        <f>IFERROR(INDEX('09_EU中间表'!$D:$D,MATCH(B13,'09_EU中间表'!$B:$B,0)),"")</f>
        <v/>
      </c>
      <c r="E13" s="34">
        <f>IFERROR(INDEX('05_证据映射过程'!$E:$E,MATCH(B13,'05_证据映射过程'!$B:$B,0)),"不适用/默认")</f>
        <v/>
      </c>
      <c r="F13" s="34">
        <f>IFERROR(INDEX('06_核验映射过程'!$D:$D,MATCH(B13,'06_核验映射过程'!$B:$B,0)),"默认")</f>
        <v/>
      </c>
      <c r="G13" s="34">
        <f>IFERROR(INDEX('07_权限映射过程'!$D:$D,MATCH(B13,'07_权限映射过程'!$B:$B,0)),"默认")</f>
        <v/>
      </c>
      <c r="H13" s="34">
        <f>IF(D13="","待生成","已生成")</f>
        <v/>
      </c>
    </row>
    <row r="14">
      <c r="A14" s="2" t="inlineStr">
        <is>
          <t>产品参数</t>
        </is>
      </c>
      <c r="B14" s="2" t="inlineStr">
        <is>
          <t>循环寿命(cycles)</t>
        </is>
      </c>
      <c r="C14" s="2" t="inlineStr">
        <is>
          <t>cycles</t>
        </is>
      </c>
      <c r="D14" s="34">
        <f>IFERROR(INDEX('09_EU中间表'!$D:$D,MATCH(B14,'09_EU中间表'!$B:$B,0)),"")</f>
        <v/>
      </c>
      <c r="E14" s="34">
        <f>IFERROR(INDEX('05_证据映射过程'!$E:$E,MATCH(B14,'05_证据映射过程'!$B:$B,0)),"不适用/默认")</f>
        <v/>
      </c>
      <c r="F14" s="34">
        <f>IFERROR(INDEX('06_核验映射过程'!$D:$D,MATCH(B14,'06_核验映射过程'!$B:$B,0)),"默认")</f>
        <v/>
      </c>
      <c r="G14" s="34">
        <f>IFERROR(INDEX('07_权限映射过程'!$D:$D,MATCH(B14,'07_权限映射过程'!$B:$B,0)),"默认")</f>
        <v/>
      </c>
      <c r="H14" s="34">
        <f>IF(D14="","待生成","已生成")</f>
        <v/>
      </c>
    </row>
    <row r="15" ht="27" customHeight="1" s="30">
      <c r="A15" s="2" t="inlineStr">
        <is>
          <t>碳足迹</t>
        </is>
      </c>
      <c r="B15" s="2" t="inlineStr">
        <is>
          <t>声明总碳足迹(kgCO2e/申报单元)</t>
        </is>
      </c>
      <c r="C15" s="2" t="inlineStr">
        <is>
          <t>kgCO2e/declared unit</t>
        </is>
      </c>
      <c r="D15" s="34">
        <f>IFERROR(INDEX('09_EU中间表'!$D:$D,MATCH(B15,'09_EU中间表'!$B:$B,0)),"")</f>
        <v/>
      </c>
      <c r="E15" s="34">
        <f>IFERROR(INDEX('05_证据映射过程'!$E:$E,MATCH(B15,'05_证据映射过程'!$B:$B,0)),"不适用/默认")</f>
        <v/>
      </c>
      <c r="F15" s="34">
        <f>IFERROR(INDEX('06_核验映射过程'!$D:$D,MATCH(B15,'06_核验映射过程'!$B:$B,0)),"默认")</f>
        <v/>
      </c>
      <c r="G15" s="34">
        <f>IFERROR(INDEX('07_权限映射过程'!$D:$D,MATCH(B15,'07_权限映射过程'!$B:$B,0)),"默认")</f>
        <v/>
      </c>
      <c r="H15" s="34">
        <f>IF(D15="","待生成","已生成")</f>
        <v/>
      </c>
    </row>
    <row r="16">
      <c r="A16" s="2" t="inlineStr">
        <is>
          <t>碳足迹</t>
        </is>
      </c>
      <c r="B16" s="2" t="inlineStr">
        <is>
          <t>声明总碳足迹(kgCO2e/kWh)</t>
        </is>
      </c>
      <c r="C16" s="2" t="inlineStr">
        <is>
          <t>kgCO2e/kWh</t>
        </is>
      </c>
      <c r="D16" s="34">
        <f>IFERROR(INDEX('09_EU中间表'!$D:$D,MATCH(B16,'09_EU中间表'!$B:$B,0)),"")</f>
        <v/>
      </c>
      <c r="E16" s="34">
        <f>IFERROR(INDEX('05_证据映射过程'!$E:$E,MATCH(B16,'05_证据映射过程'!$B:$B,0)),"不适用/默认")</f>
        <v/>
      </c>
      <c r="F16" s="34">
        <f>IFERROR(INDEX('06_核验映射过程'!$D:$D,MATCH(B16,'06_核验映射过程'!$B:$B,0)),"默认")</f>
        <v/>
      </c>
      <c r="G16" s="34">
        <f>IFERROR(INDEX('07_权限映射过程'!$D:$D,MATCH(B16,'07_权限映射过程'!$B:$B,0)),"默认")</f>
        <v/>
      </c>
      <c r="H16" s="34">
        <f>IF(D16="","待生成","已生成")</f>
        <v/>
      </c>
    </row>
    <row r="17">
      <c r="A17" s="2" t="inlineStr">
        <is>
          <t>碳足迹</t>
        </is>
      </c>
      <c r="B17" s="2" t="inlineStr">
        <is>
          <t>原材料阶段(kgCO2e/kWh)</t>
        </is>
      </c>
      <c r="C17" s="2" t="inlineStr">
        <is>
          <t>kgCO2e/kWh</t>
        </is>
      </c>
      <c r="D17" s="34">
        <f>IFERROR(INDEX('09_EU中间表'!$D:$D,MATCH(B17,'09_EU中间表'!$B:$B,0)),"")</f>
        <v/>
      </c>
      <c r="E17" s="34">
        <f>IFERROR(INDEX('05_证据映射过程'!$E:$E,MATCH(B17,'05_证据映射过程'!$B:$B,0)),"不适用/默认")</f>
        <v/>
      </c>
      <c r="F17" s="34">
        <f>IFERROR(INDEX('06_核验映射过程'!$D:$D,MATCH(B17,'06_核验映射过程'!$B:$B,0)),"默认")</f>
        <v/>
      </c>
      <c r="G17" s="34">
        <f>IFERROR(INDEX('07_权限映射过程'!$D:$D,MATCH(B17,'07_权限映射过程'!$B:$B,0)),"默认")</f>
        <v/>
      </c>
      <c r="H17" s="34">
        <f>IF(D17="","待生成","已生成")</f>
        <v/>
      </c>
    </row>
    <row r="18">
      <c r="A18" s="2" t="inlineStr">
        <is>
          <t>碳足迹</t>
        </is>
      </c>
      <c r="B18" s="2" t="inlineStr">
        <is>
          <t>制造阶段(kgCO2e/kWh)</t>
        </is>
      </c>
      <c r="C18" s="2" t="inlineStr">
        <is>
          <t>kgCO2e/kWh</t>
        </is>
      </c>
      <c r="D18" s="34">
        <f>IFERROR(INDEX('09_EU中间表'!$D:$D,MATCH(B18,'09_EU中间表'!$B:$B,0)),"")</f>
        <v/>
      </c>
      <c r="E18" s="34">
        <f>IFERROR(INDEX('05_证据映射过程'!$E:$E,MATCH(B18,'05_证据映射过程'!$B:$B,0)),"不适用/默认")</f>
        <v/>
      </c>
      <c r="F18" s="34">
        <f>IFERROR(INDEX('06_核验映射过程'!$D:$D,MATCH(B18,'06_核验映射过程'!$B:$B,0)),"默认")</f>
        <v/>
      </c>
      <c r="G18" s="34">
        <f>IFERROR(INDEX('07_权限映射过程'!$D:$D,MATCH(B18,'07_权限映射过程'!$B:$B,0)),"默认")</f>
        <v/>
      </c>
      <c r="H18" s="34">
        <f>IF(D18="","待生成","已生成")</f>
        <v/>
      </c>
    </row>
    <row r="19">
      <c r="A19" s="2" t="inlineStr">
        <is>
          <t>碳足迹</t>
        </is>
      </c>
      <c r="B19" s="2" t="inlineStr">
        <is>
          <t>运输阶段(kgCO2e/kWh)</t>
        </is>
      </c>
      <c r="C19" s="2" t="inlineStr">
        <is>
          <t>kgCO2e/kWh</t>
        </is>
      </c>
      <c r="D19" s="34">
        <f>IFERROR(INDEX('09_EU中间表'!$D:$D,MATCH(B19,'09_EU中间表'!$B:$B,0)),"")</f>
        <v/>
      </c>
      <c r="E19" s="34">
        <f>IFERROR(INDEX('05_证据映射过程'!$E:$E,MATCH(B19,'05_证据映射过程'!$B:$B,0)),"不适用/默认")</f>
        <v/>
      </c>
      <c r="F19" s="34">
        <f>IFERROR(INDEX('06_核验映射过程'!$D:$D,MATCH(B19,'06_核验映射过程'!$B:$B,0)),"默认")</f>
        <v/>
      </c>
      <c r="G19" s="34">
        <f>IFERROR(INDEX('07_权限映射过程'!$D:$D,MATCH(B19,'07_权限映射过程'!$B:$B,0)),"默认")</f>
        <v/>
      </c>
      <c r="H19" s="34">
        <f>IF(D19="","待生成","已生成")</f>
        <v/>
      </c>
    </row>
    <row r="20">
      <c r="A20" s="2" t="inlineStr">
        <is>
          <t>碳足迹</t>
        </is>
      </c>
      <c r="B20" s="2" t="inlineStr">
        <is>
          <t>终端回收阶段(kgCO2e/kWh)</t>
        </is>
      </c>
      <c r="C20" s="2" t="inlineStr">
        <is>
          <t>kgCO2e/kWh</t>
        </is>
      </c>
      <c r="D20" s="34">
        <f>IFERROR(INDEX('09_EU中间表'!$D:$D,MATCH(B20,'09_EU中间表'!$B:$B,0)),"")</f>
        <v/>
      </c>
      <c r="E20" s="34">
        <f>IFERROR(INDEX('05_证据映射过程'!$E:$E,MATCH(B20,'05_证据映射过程'!$B:$B,0)),"不适用/默认")</f>
        <v/>
      </c>
      <c r="F20" s="34">
        <f>IFERROR(INDEX('06_核验映射过程'!$D:$D,MATCH(B20,'06_核验映射过程'!$B:$B,0)),"默认")</f>
        <v/>
      </c>
      <c r="G20" s="34">
        <f>IFERROR(INDEX('07_权限映射过程'!$D:$D,MATCH(B20,'07_权限映射过程'!$B:$B,0)),"默认")</f>
        <v/>
      </c>
      <c r="H20" s="34">
        <f>IF(D20="","待生成","已生成")</f>
        <v/>
      </c>
    </row>
    <row r="21">
      <c r="A21" s="2" t="inlineStr">
        <is>
          <t>再生材料</t>
        </is>
      </c>
      <c r="B21" s="2" t="inlineStr">
        <is>
          <t>再生锂占比</t>
        </is>
      </c>
      <c r="C21" s="2" t="inlineStr">
        <is>
          <t>%</t>
        </is>
      </c>
      <c r="D21" s="34">
        <f>IFERROR(INDEX('09_EU中间表'!$D:$D,MATCH(B21,'09_EU中间表'!$B:$B,0)),"")</f>
        <v/>
      </c>
      <c r="E21" s="34">
        <f>IFERROR(INDEX('05_证据映射过程'!$E:$E,MATCH(B21,'05_证据映射过程'!$B:$B,0)),"不适用/默认")</f>
        <v/>
      </c>
      <c r="F21" s="34">
        <f>IFERROR(INDEX('06_核验映射过程'!$D:$D,MATCH(B21,'06_核验映射过程'!$B:$B,0)),"默认")</f>
        <v/>
      </c>
      <c r="G21" s="34">
        <f>IFERROR(INDEX('07_权限映射过程'!$D:$D,MATCH(B21,'07_权限映射过程'!$B:$B,0)),"默认")</f>
        <v/>
      </c>
      <c r="H21" s="34">
        <f>IF(D21="","待生成","已生成")</f>
        <v/>
      </c>
    </row>
    <row r="22">
      <c r="A22" s="2" t="inlineStr">
        <is>
          <t>再生材料</t>
        </is>
      </c>
      <c r="B22" s="2" t="inlineStr">
        <is>
          <t>再生钴占比</t>
        </is>
      </c>
      <c r="C22" s="2" t="inlineStr">
        <is>
          <t>%</t>
        </is>
      </c>
      <c r="D22" s="34">
        <f>IFERROR(INDEX('09_EU中间表'!$D:$D,MATCH(B22,'09_EU中间表'!$B:$B,0)),"")</f>
        <v/>
      </c>
      <c r="E22" s="34">
        <f>IFERROR(INDEX('05_证据映射过程'!$E:$E,MATCH(B22,'05_证据映射过程'!$B:$B,0)),"不适用/默认")</f>
        <v/>
      </c>
      <c r="F22" s="34">
        <f>IFERROR(INDEX('06_核验映射过程'!$D:$D,MATCH(B22,'06_核验映射过程'!$B:$B,0)),"默认")</f>
        <v/>
      </c>
      <c r="G22" s="34">
        <f>IFERROR(INDEX('07_权限映射过程'!$D:$D,MATCH(B22,'07_权限映射过程'!$B:$B,0)),"默认")</f>
        <v/>
      </c>
      <c r="H22" s="34">
        <f>IF(D22="","待生成","已生成")</f>
        <v/>
      </c>
    </row>
    <row r="23">
      <c r="A23" s="2" t="inlineStr">
        <is>
          <t>再生材料</t>
        </is>
      </c>
      <c r="B23" s="2" t="inlineStr">
        <is>
          <t>再生镍占比</t>
        </is>
      </c>
      <c r="C23" s="2" t="inlineStr">
        <is>
          <t>%</t>
        </is>
      </c>
      <c r="D23" s="34">
        <f>IFERROR(INDEX('09_EU中间表'!$D:$D,MATCH(B23,'09_EU中间表'!$B:$B,0)),"")</f>
        <v/>
      </c>
      <c r="E23" s="34">
        <f>IFERROR(INDEX('05_证据映射过程'!$E:$E,MATCH(B23,'05_证据映射过程'!$B:$B,0)),"不适用/默认")</f>
        <v/>
      </c>
      <c r="F23" s="34">
        <f>IFERROR(INDEX('06_核验映射过程'!$D:$D,MATCH(B23,'06_核验映射过程'!$B:$B,0)),"默认")</f>
        <v/>
      </c>
      <c r="G23" s="34">
        <f>IFERROR(INDEX('07_权限映射过程'!$D:$D,MATCH(B23,'07_权限映射过程'!$B:$B,0)),"默认")</f>
        <v/>
      </c>
      <c r="H23" s="34">
        <f>IF(D23="","待生成","已生成")</f>
        <v/>
      </c>
    </row>
    <row r="24">
      <c r="A24" s="2" t="inlineStr">
        <is>
          <t>再生材料</t>
        </is>
      </c>
      <c r="B24" s="2" t="inlineStr">
        <is>
          <t>再生铅占比</t>
        </is>
      </c>
      <c r="C24" s="2" t="inlineStr">
        <is>
          <t>%</t>
        </is>
      </c>
      <c r="D24" s="34">
        <f>IFERROR(INDEX('09_EU中间表'!$D:$D,MATCH(B24,'09_EU中间表'!$B:$B,0)),"")</f>
        <v/>
      </c>
      <c r="E24" s="34">
        <f>IFERROR(INDEX('05_证据映射过程'!$E:$E,MATCH(B24,'05_证据映射过程'!$B:$B,0)),"不适用/默认")</f>
        <v/>
      </c>
      <c r="F24" s="34">
        <f>IFERROR(INDEX('06_核验映射过程'!$D:$D,MATCH(B24,'06_核验映射过程'!$B:$B,0)),"默认")</f>
        <v/>
      </c>
      <c r="G24" s="34">
        <f>IFERROR(INDEX('07_权限映射过程'!$D:$D,MATCH(B24,'07_权限映射过程'!$B:$B,0)),"默认")</f>
        <v/>
      </c>
      <c r="H24" s="34">
        <f>IF(D24="","待生成","已生成")</f>
        <v/>
      </c>
    </row>
    <row r="25">
      <c r="A25" s="2" t="inlineStr">
        <is>
          <t>尽调与追溯</t>
        </is>
      </c>
      <c r="B25" s="2" t="inlineStr">
        <is>
          <t>尽调政策链接</t>
        </is>
      </c>
      <c r="C25" s="2" t="inlineStr">
        <is>
          <t>文本</t>
        </is>
      </c>
      <c r="D25" s="34">
        <f>IFERROR(INDEX('09_EU中间表'!$D:$D,MATCH(B25,'09_EU中间表'!$B:$B,0)),"")</f>
        <v/>
      </c>
      <c r="E25" s="34">
        <f>IFERROR(INDEX('05_证据映射过程'!$E:$E,MATCH(B25,'05_证据映射过程'!$B:$B,0)),"不适用/默认")</f>
        <v/>
      </c>
      <c r="F25" s="34">
        <f>IFERROR(INDEX('06_核验映射过程'!$D:$D,MATCH(B25,'06_核验映射过程'!$B:$B,0)),"默认")</f>
        <v/>
      </c>
      <c r="G25" s="34">
        <f>IFERROR(INDEX('07_权限映射过程'!$D:$D,MATCH(B25,'07_权限映射过程'!$B:$B,0)),"默认")</f>
        <v/>
      </c>
      <c r="H25" s="34">
        <f>IF(D25="","待生成","已生成")</f>
        <v/>
      </c>
    </row>
    <row r="26">
      <c r="A26" s="2" t="inlineStr">
        <is>
          <t>尽调与追溯</t>
        </is>
      </c>
      <c r="B26" s="2" t="inlineStr">
        <is>
          <t>关键原材料追溯范围</t>
        </is>
      </c>
      <c r="C26" s="2" t="inlineStr">
        <is>
          <t>文本</t>
        </is>
      </c>
      <c r="D26" s="34">
        <f>IFERROR(INDEX('09_EU中间表'!$D:$D,MATCH(B26,'09_EU中间表'!$B:$B,0)),"")</f>
        <v/>
      </c>
      <c r="E26" s="34">
        <f>IFERROR(INDEX('05_证据映射过程'!$E:$E,MATCH(B26,'05_证据映射过程'!$B:$B,0)),"不适用/默认")</f>
        <v/>
      </c>
      <c r="F26" s="34">
        <f>IFERROR(INDEX('06_核验映射过程'!$D:$D,MATCH(B26,'06_核验映射过程'!$B:$B,0)),"默认")</f>
        <v/>
      </c>
      <c r="G26" s="34">
        <f>IFERROR(INDEX('07_权限映射过程'!$D:$D,MATCH(B26,'07_权限映射过程'!$B:$B,0)),"默认")</f>
        <v/>
      </c>
      <c r="H26" s="34">
        <f>IF(D26="","待生成","已生成")</f>
        <v/>
      </c>
    </row>
    <row r="27">
      <c r="A27" s="2" t="inlineStr">
        <is>
          <t>尽调与追溯</t>
        </is>
      </c>
      <c r="B27" s="2" t="inlineStr">
        <is>
          <t>供应链追溯覆盖率</t>
        </is>
      </c>
      <c r="C27" s="2" t="inlineStr">
        <is>
          <t>%</t>
        </is>
      </c>
      <c r="D27" s="34">
        <f>IFERROR(INDEX('09_EU中间表'!$D:$D,MATCH(B27,'09_EU中间表'!$B:$B,0)),"")</f>
        <v/>
      </c>
      <c r="E27" s="34">
        <f>IFERROR(INDEX('05_证据映射过程'!$E:$E,MATCH(B27,'05_证据映射过程'!$B:$B,0)),"不适用/默认")</f>
        <v/>
      </c>
      <c r="F27" s="34">
        <f>IFERROR(INDEX('06_核验映射过程'!$D:$D,MATCH(B27,'06_核验映射过程'!$B:$B,0)),"默认")</f>
        <v/>
      </c>
      <c r="G27" s="34">
        <f>IFERROR(INDEX('07_权限映射过程'!$D:$D,MATCH(B27,'07_权限映射过程'!$B:$B,0)),"默认")</f>
        <v/>
      </c>
      <c r="H27" s="34">
        <f>IF(D27="","待生成","已生成")</f>
        <v/>
      </c>
    </row>
    <row r="28">
      <c r="A28" s="2" t="inlineStr">
        <is>
          <t>文件与护照</t>
        </is>
      </c>
      <c r="B28" s="2" t="inlineStr">
        <is>
          <t>产品碳足迹研究底稿状态</t>
        </is>
      </c>
      <c r="C28" s="2" t="inlineStr">
        <is>
          <t>文本</t>
        </is>
      </c>
      <c r="D28" s="34">
        <f>IFERROR(INDEX('09_EU中间表'!$D:$D,MATCH(B28,'09_EU中间表'!$B:$B,0)),"")</f>
        <v/>
      </c>
      <c r="E28" s="34">
        <f>IFERROR(INDEX('05_证据映射过程'!$E:$E,MATCH(B28,'05_证据映射过程'!$B:$B,0)),"不适用/默认")</f>
        <v/>
      </c>
      <c r="F28" s="34">
        <f>IFERROR(INDEX('06_核验映射过程'!$D:$D,MATCH(B28,'06_核验映射过程'!$B:$B,0)),"默认")</f>
        <v/>
      </c>
      <c r="G28" s="34">
        <f>IFERROR(INDEX('07_权限映射过程'!$D:$D,MATCH(B28,'07_权限映射过程'!$B:$B,0)),"默认")</f>
        <v/>
      </c>
      <c r="H28" s="34">
        <f>IF(D28="","待生成","已生成")</f>
        <v/>
      </c>
    </row>
    <row r="29">
      <c r="A29" s="2" t="inlineStr">
        <is>
          <t>文件与护照</t>
        </is>
      </c>
      <c r="B29" s="2" t="inlineStr">
        <is>
          <t>测试报告状态</t>
        </is>
      </c>
      <c r="C29" s="2" t="inlineStr">
        <is>
          <t>文本</t>
        </is>
      </c>
      <c r="D29" s="34">
        <f>IFERROR(INDEX('09_EU中间表'!$D:$D,MATCH(B29,'09_EU中间表'!$B:$B,0)),"")</f>
        <v/>
      </c>
      <c r="E29" s="34">
        <f>IFERROR(INDEX('05_证据映射过程'!$E:$E,MATCH(B29,'05_证据映射过程'!$B:$B,0)),"不适用/默认")</f>
        <v/>
      </c>
      <c r="F29" s="34">
        <f>IFERROR(INDEX('06_核验映射过程'!$D:$D,MATCH(B29,'06_核验映射过程'!$B:$B,0)),"默认")</f>
        <v/>
      </c>
      <c r="G29" s="34">
        <f>IFERROR(INDEX('07_权限映射过程'!$D:$D,MATCH(B29,'07_权限映射过程'!$B:$B,0)),"默认")</f>
        <v/>
      </c>
      <c r="H29" s="34">
        <f>IF(D29="","待生成","已生成")</f>
        <v/>
      </c>
    </row>
    <row r="30">
      <c r="A30" s="2" t="inlineStr">
        <is>
          <t>文件与护照</t>
        </is>
      </c>
      <c r="B30" s="2" t="inlineStr">
        <is>
          <t>技术文档状态</t>
        </is>
      </c>
      <c r="C30" s="2" t="inlineStr">
        <is>
          <t>文本</t>
        </is>
      </c>
      <c r="D30" s="34">
        <f>IFERROR(INDEX('09_EU中间表'!$D:$D,MATCH(B30,'09_EU中间表'!$B:$B,0)),"")</f>
        <v/>
      </c>
      <c r="E30" s="34">
        <f>IFERROR(INDEX('05_证据映射过程'!$E:$E,MATCH(B30,'05_证据映射过程'!$B:$B,0)),"不适用/默认")</f>
        <v/>
      </c>
      <c r="F30" s="34">
        <f>IFERROR(INDEX('06_核验映射过程'!$D:$D,MATCH(B30,'06_核验映射过程'!$B:$B,0)),"默认")</f>
        <v/>
      </c>
      <c r="G30" s="34">
        <f>IFERROR(INDEX('07_权限映射过程'!$D:$D,MATCH(B30,'07_权限映射过程'!$B:$B,0)),"默认")</f>
        <v/>
      </c>
      <c r="H30" s="34">
        <f>IF(D30="","待生成","已生成")</f>
        <v/>
      </c>
    </row>
    <row r="31">
      <c r="A31" s="2" t="inlineStr">
        <is>
          <t>文件与护照</t>
        </is>
      </c>
      <c r="B31" s="2" t="inlineStr">
        <is>
          <t>护照对象 ID</t>
        </is>
      </c>
      <c r="C31" s="2" t="inlineStr">
        <is>
          <t>文本</t>
        </is>
      </c>
      <c r="D31" s="34">
        <f>IFERROR(INDEX('09_EU中间表'!$D:$D,MATCH(B31,'09_EU中间表'!$B:$B,0)),"")</f>
        <v/>
      </c>
      <c r="E31" s="34">
        <f>IFERROR(INDEX('05_证据映射过程'!$E:$E,MATCH(B31,'05_证据映射过程'!$B:$B,0)),"不适用/默认")</f>
        <v/>
      </c>
      <c r="F31" s="34">
        <f>IFERROR(INDEX('06_核验映射过程'!$D:$D,MATCH(B31,'06_核验映射过程'!$B:$B,0)),"默认")</f>
        <v/>
      </c>
      <c r="G31" s="34">
        <f>IFERROR(INDEX('07_权限映射过程'!$D:$D,MATCH(B31,'07_权限映射过程'!$B:$B,0)),"默认")</f>
        <v/>
      </c>
      <c r="H31" s="34">
        <f>IF(D31="","待生成","已生成")</f>
        <v/>
      </c>
    </row>
    <row r="32">
      <c r="A32" s="2" t="inlineStr">
        <is>
          <t>文件与护照</t>
        </is>
      </c>
      <c r="B32" s="2" t="inlineStr">
        <is>
          <t>个体电池编码前缀</t>
        </is>
      </c>
      <c r="C32" s="2" t="inlineStr">
        <is>
          <t>文本</t>
        </is>
      </c>
      <c r="D32" s="34">
        <f>IFERROR(INDEX('09_EU中间表'!$D:$D,MATCH(B32,'09_EU中间表'!$B:$B,0)),"")</f>
        <v/>
      </c>
      <c r="E32" s="34">
        <f>IFERROR(INDEX('05_证据映射过程'!$E:$E,MATCH(B32,'05_证据映射过程'!$B:$B,0)),"不适用/默认")</f>
        <v/>
      </c>
      <c r="F32" s="34">
        <f>IFERROR(INDEX('06_核验映射过程'!$D:$D,MATCH(B32,'06_核验映射过程'!$B:$B,0)),"默认")</f>
        <v/>
      </c>
      <c r="G32" s="34">
        <f>IFERROR(INDEX('07_权限映射过程'!$D:$D,MATCH(B32,'07_权限映射过程'!$B:$B,0)),"默认")</f>
        <v/>
      </c>
      <c r="H32" s="34">
        <f>IF(D32="","待生成","已生成")</f>
        <v/>
      </c>
    </row>
    <row r="33" ht="27" customHeight="1" s="30">
      <c r="A33" s="2" t="inlineStr">
        <is>
          <t>综合状态</t>
        </is>
      </c>
      <c r="B33" s="2" t="inlineStr">
        <is>
          <t>EU 输出完备度</t>
        </is>
      </c>
      <c r="C33" s="2" t="inlineStr">
        <is>
          <t>%</t>
        </is>
      </c>
      <c r="D33" s="34">
        <f>IFERROR(INDEX('09_EU中间表'!$D:$D,MATCH(B33,'09_EU中间表'!$B:$B,0)),"")</f>
        <v/>
      </c>
      <c r="E33" s="34">
        <f>IFERROR(INDEX('05_证据映射过程'!$E:$E,MATCH(B33,'05_证据映射过程'!$B:$B,0)),"不适用/默认")</f>
        <v/>
      </c>
      <c r="F33" s="34">
        <f>IFERROR(INDEX('06_核验映射过程'!$D:$D,MATCH(B33,'06_核验映射过程'!$B:$B,0)),"默认")</f>
        <v/>
      </c>
      <c r="G33" s="34">
        <f>IFERROR(INDEX('07_权限映射过程'!$D:$D,MATCH(B33,'07_权限映射过程'!$B:$B,0)),"默认")</f>
        <v/>
      </c>
      <c r="H33" s="34">
        <f>IF(D33="","待生成","已生成")</f>
        <v/>
      </c>
    </row>
    <row r="34" ht="27" customHeight="1" s="30">
      <c r="A34" s="2" t="inlineStr">
        <is>
          <t>综合状态</t>
        </is>
      </c>
      <c r="B34" s="2" t="inlineStr">
        <is>
          <t>EU 输出结论</t>
        </is>
      </c>
      <c r="C34" s="2" t="inlineStr">
        <is>
          <t>文本</t>
        </is>
      </c>
      <c r="D34" s="34">
        <f>IFERROR(INDEX('09_EU中间表'!$D:$D,MATCH(B34,'09_EU中间表'!$B:$B,0)),"")</f>
        <v/>
      </c>
      <c r="E34" s="34">
        <f>IFERROR(INDEX('05_证据映射过程'!$E:$E,MATCH(B34,'05_证据映射过程'!$B:$B,0)),"不适用/默认")</f>
        <v/>
      </c>
      <c r="F34" s="34">
        <f>IFERROR(INDEX('06_核验映射过程'!$D:$D,MATCH(B34,'06_核验映射过程'!$B:$B,0)),"默认")</f>
        <v/>
      </c>
      <c r="G34" s="34">
        <f>IFERROR(INDEX('07_权限映射过程'!$D:$D,MATCH(B34,'07_权限映射过程'!$B:$B,0)),"默认")</f>
        <v/>
      </c>
      <c r="H34" s="34">
        <f>IF(D34="","待生成","已生成")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:H34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4" customWidth="1" style="30" min="1" max="1"/>
    <col width="30" customWidth="1" style="30" min="2" max="2"/>
    <col width="16" customWidth="1" style="30" min="3" max="3"/>
    <col width="18" customWidth="1" style="30" min="4" max="4"/>
    <col width="16" customWidth="1" style="30" min="5" max="5"/>
    <col width="18" customWidth="1" style="30" min="6" max="7"/>
    <col width="12" customWidth="1" style="30" min="8" max="8"/>
  </cols>
  <sheetData>
    <row r="1">
      <c r="A1" s="32" t="inlineStr">
        <is>
          <t>03_CBAM输出（全部自动公式）</t>
        </is>
      </c>
      <c r="B1" s="27" t="n"/>
      <c r="C1" s="27" t="n"/>
      <c r="D1" s="27" t="n"/>
      <c r="E1" s="27" t="n"/>
      <c r="F1" s="27" t="n"/>
      <c r="G1" s="27" t="n"/>
      <c r="H1" s="28" t="n"/>
    </row>
    <row r="2">
      <c r="A2" s="31" t="inlineStr">
        <is>
          <t>说明：本 Sheet 不允许手动输入，只展示系统自动生成的结果。</t>
        </is>
      </c>
    </row>
    <row r="3">
      <c r="A3" s="1" t="inlineStr">
        <is>
          <t>模块</t>
        </is>
      </c>
      <c r="B3" s="1" t="inlineStr">
        <is>
          <t>输出字段</t>
        </is>
      </c>
      <c r="C3" s="1" t="inlineStr">
        <is>
          <t>单位</t>
        </is>
      </c>
      <c r="D3" s="1" t="inlineStr">
        <is>
          <t>自动输出值</t>
        </is>
      </c>
      <c r="E3" s="1" t="inlineStr">
        <is>
          <t>证据状态</t>
        </is>
      </c>
      <c r="F3" s="1" t="inlineStr">
        <is>
          <t>核验层级</t>
        </is>
      </c>
      <c r="G3" s="1" t="inlineStr">
        <is>
          <t>访问层级</t>
        </is>
      </c>
      <c r="H3" s="1" t="inlineStr">
        <is>
          <t>当前状态</t>
        </is>
      </c>
    </row>
    <row r="4">
      <c r="A4" s="2" t="inlineStr">
        <is>
          <t>基础锚点</t>
        </is>
      </c>
      <c r="B4" s="2" t="inlineStr">
        <is>
          <t>电池型号</t>
        </is>
      </c>
      <c r="C4" s="2" t="inlineStr">
        <is>
          <t>文本</t>
        </is>
      </c>
      <c r="D4" s="34">
        <f>IFERROR(INDEX('10_CBAM中间表'!$D:$D,MATCH(B4,'10_CBAM中间表'!$B:$B,0)),"")</f>
        <v/>
      </c>
      <c r="E4" s="34">
        <f>IFERROR(INDEX('05_证据映射过程'!$E:$E,MATCH(B4,'05_证据映射过程'!$B:$B,0)),"不适用/默认")</f>
        <v/>
      </c>
      <c r="F4" s="34">
        <f>IFERROR(INDEX('06_核验映射过程'!$D:$D,MATCH(B4,'06_核验映射过程'!$B:$B,0)),"默认")</f>
        <v/>
      </c>
      <c r="G4" s="34">
        <f>IFERROR(INDEX('07_权限映射过程'!$D:$D,MATCH(B4,'07_权限映射过程'!$B:$B,0)),"默认")</f>
        <v/>
      </c>
      <c r="H4" s="34">
        <f>IF(D4="","待生成","已生成")</f>
        <v/>
      </c>
    </row>
    <row r="5">
      <c r="A5" s="2" t="inlineStr">
        <is>
          <t>基础锚点</t>
        </is>
      </c>
      <c r="B5" s="2" t="inlineStr">
        <is>
          <t>产品报告期</t>
        </is>
      </c>
      <c r="C5" s="2" t="inlineStr">
        <is>
          <t>文本</t>
        </is>
      </c>
      <c r="D5" s="34">
        <f>IFERROR(INDEX('10_CBAM中间表'!$D:$D,MATCH(B5,'10_CBAM中间表'!$B:$B,0)),"")</f>
        <v/>
      </c>
      <c r="E5" s="34">
        <f>IFERROR(INDEX('05_证据映射过程'!$E:$E,MATCH(B5,'05_证据映射过程'!$B:$B,0)),"不适用/默认")</f>
        <v/>
      </c>
      <c r="F5" s="34">
        <f>IFERROR(INDEX('06_核验映射过程'!$D:$D,MATCH(B5,'06_核验映射过程'!$B:$B,0)),"默认")</f>
        <v/>
      </c>
      <c r="G5" s="34">
        <f>IFERROR(INDEX('07_权限映射过程'!$D:$D,MATCH(B5,'07_权限映射过程'!$B:$B,0)),"默认")</f>
        <v/>
      </c>
      <c r="H5" s="34">
        <f>IF(D5="","待生成","已生成")</f>
        <v/>
      </c>
    </row>
    <row r="6">
      <c r="A6" s="2" t="inlineStr">
        <is>
          <t>基础锚点</t>
        </is>
      </c>
      <c r="B6" s="2" t="inlineStr">
        <is>
          <t>上游材料报告期</t>
        </is>
      </c>
      <c r="C6" s="2" t="inlineStr">
        <is>
          <t>文本</t>
        </is>
      </c>
      <c r="D6" s="34">
        <f>IFERROR(INDEX('10_CBAM中间表'!$D:$D,MATCH(B6,'10_CBAM中间表'!$B:$B,0)),"")</f>
        <v/>
      </c>
      <c r="E6" s="34">
        <f>IFERROR(INDEX('05_证据映射过程'!$E:$E,MATCH(B6,'05_证据映射过程'!$B:$B,0)),"不适用/默认")</f>
        <v/>
      </c>
      <c r="F6" s="34">
        <f>IFERROR(INDEX('06_核验映射过程'!$D:$D,MATCH(B6,'06_核验映射过程'!$B:$B,0)),"默认")</f>
        <v/>
      </c>
      <c r="G6" s="34">
        <f>IFERROR(INDEX('07_权限映射过程'!$D:$D,MATCH(B6,'07_权限映射过程'!$B:$B,0)),"默认")</f>
        <v/>
      </c>
      <c r="H6" s="34">
        <f>IF(D6="","待生成","已生成")</f>
        <v/>
      </c>
    </row>
    <row r="7">
      <c r="A7" s="2" t="inlineStr">
        <is>
          <t>铝材模块</t>
        </is>
      </c>
      <c r="B7" s="2" t="inlineStr">
        <is>
          <t>铝材供应商安装点 ID</t>
        </is>
      </c>
      <c r="C7" s="2" t="inlineStr">
        <is>
          <t>文本</t>
        </is>
      </c>
      <c r="D7" s="34">
        <f>IFERROR(INDEX('10_CBAM中间表'!$D:$D,MATCH(B7,'10_CBAM中间表'!$B:$B,0)),"")</f>
        <v/>
      </c>
      <c r="E7" s="34">
        <f>IFERROR(INDEX('05_证据映射过程'!$E:$E,MATCH(B7,'05_证据映射过程'!$B:$B,0)),"不适用/默认")</f>
        <v/>
      </c>
      <c r="F7" s="34">
        <f>IFERROR(INDEX('06_核验映射过程'!$D:$D,MATCH(B7,'06_核验映射过程'!$B:$B,0)),"默认")</f>
        <v/>
      </c>
      <c r="G7" s="34">
        <f>IFERROR(INDEX('07_权限映射过程'!$D:$D,MATCH(B7,'07_权限映射过程'!$B:$B,0)),"默认")</f>
        <v/>
      </c>
      <c r="H7" s="34">
        <f>IF(D7="","待生成","已生成")</f>
        <v/>
      </c>
    </row>
    <row r="8">
      <c r="A8" s="2" t="inlineStr">
        <is>
          <t>铝材模块</t>
        </is>
      </c>
      <c r="B8" s="2" t="inlineStr">
        <is>
          <t>铝材质量(kg)</t>
        </is>
      </c>
      <c r="C8" s="2" t="inlineStr">
        <is>
          <t>kg</t>
        </is>
      </c>
      <c r="D8" s="34">
        <f>IFERROR(INDEX('10_CBAM中间表'!$D:$D,MATCH(B8,'10_CBAM中间表'!$B:$B,0)),"")</f>
        <v/>
      </c>
      <c r="E8" s="34">
        <f>IFERROR(INDEX('05_证据映射过程'!$E:$E,MATCH(B8,'05_证据映射过程'!$B:$B,0)),"不适用/默认")</f>
        <v/>
      </c>
      <c r="F8" s="34">
        <f>IFERROR(INDEX('06_核验映射过程'!$D:$D,MATCH(B8,'06_核验映射过程'!$B:$B,0)),"默认")</f>
        <v/>
      </c>
      <c r="G8" s="34">
        <f>IFERROR(INDEX('07_权限映射过程'!$D:$D,MATCH(B8,'07_权限映射过程'!$B:$B,0)),"默认")</f>
        <v/>
      </c>
      <c r="H8" s="34">
        <f>IF(D8="","待生成","已生成")</f>
        <v/>
      </c>
    </row>
    <row r="9">
      <c r="A9" s="2" t="inlineStr">
        <is>
          <t>铝材模块</t>
        </is>
      </c>
      <c r="B9" s="2" t="inlineStr">
        <is>
          <t>铝材直接排放因子(kgCO2e/kg)</t>
        </is>
      </c>
      <c r="C9" s="2" t="inlineStr">
        <is>
          <t>kgCO2e/kg</t>
        </is>
      </c>
      <c r="D9" s="34">
        <f>IFERROR(INDEX('10_CBAM中间表'!$D:$D,MATCH(B9,'10_CBAM中间表'!$B:$B,0)),"")</f>
        <v/>
      </c>
      <c r="E9" s="34">
        <f>IFERROR(INDEX('05_证据映射过程'!$E:$E,MATCH(B9,'05_证据映射过程'!$B:$B,0)),"不适用/默认")</f>
        <v/>
      </c>
      <c r="F9" s="34">
        <f>IFERROR(INDEX('06_核验映射过程'!$D:$D,MATCH(B9,'06_核验映射过程'!$B:$B,0)),"默认")</f>
        <v/>
      </c>
      <c r="G9" s="34">
        <f>IFERROR(INDEX('07_权限映射过程'!$D:$D,MATCH(B9,'07_权限映射过程'!$B:$B,0)),"默认")</f>
        <v/>
      </c>
      <c r="H9" s="34">
        <f>IF(D9="","待生成","已生成")</f>
        <v/>
      </c>
    </row>
    <row r="10">
      <c r="A10" s="2" t="inlineStr">
        <is>
          <t>铝材模块</t>
        </is>
      </c>
      <c r="B10" s="2" t="inlineStr">
        <is>
          <t>铝材间接排放因子(kgCO2e/kg)</t>
        </is>
      </c>
      <c r="C10" s="2" t="inlineStr">
        <is>
          <t>kgCO2e/kg</t>
        </is>
      </c>
      <c r="D10" s="34">
        <f>IFERROR(INDEX('10_CBAM中间表'!$D:$D,MATCH(B10,'10_CBAM中间表'!$B:$B,0)),"")</f>
        <v/>
      </c>
      <c r="E10" s="34">
        <f>IFERROR(INDEX('05_证据映射过程'!$E:$E,MATCH(B10,'05_证据映射过程'!$B:$B,0)),"不适用/默认")</f>
        <v/>
      </c>
      <c r="F10" s="34">
        <f>IFERROR(INDEX('06_核验映射过程'!$D:$D,MATCH(B10,'06_核验映射过程'!$B:$B,0)),"默认")</f>
        <v/>
      </c>
      <c r="G10" s="34">
        <f>IFERROR(INDEX('07_权限映射过程'!$D:$D,MATCH(B10,'07_权限映射过程'!$B:$B,0)),"默认")</f>
        <v/>
      </c>
      <c r="H10" s="34">
        <f>IF(D10="","待生成","已生成")</f>
        <v/>
      </c>
    </row>
    <row r="11" ht="27" customHeight="1" s="30">
      <c r="A11" s="2" t="inlineStr">
        <is>
          <t>铝材模块</t>
        </is>
      </c>
      <c r="B11" s="2" t="inlineStr">
        <is>
          <t>铝材总嵌入排放(kgCO2e/申报单元)</t>
        </is>
      </c>
      <c r="C11" s="2" t="inlineStr">
        <is>
          <t>kgCO2e/declared unit</t>
        </is>
      </c>
      <c r="D11" s="34">
        <f>IFERROR(INDEX('10_CBAM中间表'!$D:$D,MATCH(B11,'10_CBAM中间表'!$B:$B,0)),"")</f>
        <v/>
      </c>
      <c r="E11" s="34">
        <f>IFERROR(INDEX('05_证据映射过程'!$E:$E,MATCH(B11,'05_证据映射过程'!$B:$B,0)),"不适用/默认")</f>
        <v/>
      </c>
      <c r="F11" s="34">
        <f>IFERROR(INDEX('06_核验映射过程'!$D:$D,MATCH(B11,'06_核验映射过程'!$B:$B,0)),"默认")</f>
        <v/>
      </c>
      <c r="G11" s="34">
        <f>IFERROR(INDEX('07_权限映射过程'!$D:$D,MATCH(B11,'07_权限映射过程'!$B:$B,0)),"默认")</f>
        <v/>
      </c>
      <c r="H11" s="34">
        <f>IF(D11="","待生成","已生成")</f>
        <v/>
      </c>
    </row>
    <row r="12">
      <c r="A12" s="2" t="inlineStr">
        <is>
          <t>铝材模块</t>
        </is>
      </c>
      <c r="B12" s="2" t="inlineStr">
        <is>
          <t>铝材核验状态</t>
        </is>
      </c>
      <c r="C12" s="2" t="inlineStr">
        <is>
          <t>文本</t>
        </is>
      </c>
      <c r="D12" s="34">
        <f>IFERROR(INDEX('10_CBAM中间表'!$D:$D,MATCH(B12,'10_CBAM中间表'!$B:$B,0)),"")</f>
        <v/>
      </c>
      <c r="E12" s="34">
        <f>IFERROR(INDEX('05_证据映射过程'!$E:$E,MATCH(B12,'05_证据映射过程'!$B:$B,0)),"不适用/默认")</f>
        <v/>
      </c>
      <c r="F12" s="34">
        <f>IFERROR(INDEX('06_核验映射过程'!$D:$D,MATCH(B12,'06_核验映射过程'!$B:$B,0)),"默认")</f>
        <v/>
      </c>
      <c r="G12" s="34">
        <f>IFERROR(INDEX('07_权限映射过程'!$D:$D,MATCH(B12,'07_权限映射过程'!$B:$B,0)),"默认")</f>
        <v/>
      </c>
      <c r="H12" s="34">
        <f>IF(D12="","待生成","已生成")</f>
        <v/>
      </c>
    </row>
    <row r="13">
      <c r="A13" s="2" t="inlineStr">
        <is>
          <t>钢材模块</t>
        </is>
      </c>
      <c r="B13" s="2" t="inlineStr">
        <is>
          <t>钢材供应商安装点 ID</t>
        </is>
      </c>
      <c r="C13" s="2" t="inlineStr">
        <is>
          <t>文本</t>
        </is>
      </c>
      <c r="D13" s="34">
        <f>IFERROR(INDEX('10_CBAM中间表'!$D:$D,MATCH(B13,'10_CBAM中间表'!$B:$B,0)),"")</f>
        <v/>
      </c>
      <c r="E13" s="34">
        <f>IFERROR(INDEX('05_证据映射过程'!$E:$E,MATCH(B13,'05_证据映射过程'!$B:$B,0)),"不适用/默认")</f>
        <v/>
      </c>
      <c r="F13" s="34">
        <f>IFERROR(INDEX('06_核验映射过程'!$D:$D,MATCH(B13,'06_核验映射过程'!$B:$B,0)),"默认")</f>
        <v/>
      </c>
      <c r="G13" s="34">
        <f>IFERROR(INDEX('07_权限映射过程'!$D:$D,MATCH(B13,'07_权限映射过程'!$B:$B,0)),"默认")</f>
        <v/>
      </c>
      <c r="H13" s="34">
        <f>IF(D13="","待生成","已生成")</f>
        <v/>
      </c>
    </row>
    <row r="14">
      <c r="A14" s="2" t="inlineStr">
        <is>
          <t>钢材模块</t>
        </is>
      </c>
      <c r="B14" s="2" t="inlineStr">
        <is>
          <t>钢材质量(kg)</t>
        </is>
      </c>
      <c r="C14" s="2" t="inlineStr">
        <is>
          <t>kg</t>
        </is>
      </c>
      <c r="D14" s="34">
        <f>IFERROR(INDEX('10_CBAM中间表'!$D:$D,MATCH(B14,'10_CBAM中间表'!$B:$B,0)),"")</f>
        <v/>
      </c>
      <c r="E14" s="34">
        <f>IFERROR(INDEX('05_证据映射过程'!$E:$E,MATCH(B14,'05_证据映射过程'!$B:$B,0)),"不适用/默认")</f>
        <v/>
      </c>
      <c r="F14" s="34">
        <f>IFERROR(INDEX('06_核验映射过程'!$D:$D,MATCH(B14,'06_核验映射过程'!$B:$B,0)),"默认")</f>
        <v/>
      </c>
      <c r="G14" s="34">
        <f>IFERROR(INDEX('07_权限映射过程'!$D:$D,MATCH(B14,'07_权限映射过程'!$B:$B,0)),"默认")</f>
        <v/>
      </c>
      <c r="H14" s="34">
        <f>IF(D14="","待生成","已生成")</f>
        <v/>
      </c>
    </row>
    <row r="15">
      <c r="A15" s="2" t="inlineStr">
        <is>
          <t>钢材模块</t>
        </is>
      </c>
      <c r="B15" s="2" t="inlineStr">
        <is>
          <t>钢材直接排放因子(kgCO2e/kg)</t>
        </is>
      </c>
      <c r="C15" s="2" t="inlineStr">
        <is>
          <t>kgCO2e/kg</t>
        </is>
      </c>
      <c r="D15" s="34">
        <f>IFERROR(INDEX('10_CBAM中间表'!$D:$D,MATCH(B15,'10_CBAM中间表'!$B:$B,0)),"")</f>
        <v/>
      </c>
      <c r="E15" s="34">
        <f>IFERROR(INDEX('05_证据映射过程'!$E:$E,MATCH(B15,'05_证据映射过程'!$B:$B,0)),"不适用/默认")</f>
        <v/>
      </c>
      <c r="F15" s="34">
        <f>IFERROR(INDEX('06_核验映射过程'!$D:$D,MATCH(B15,'06_核验映射过程'!$B:$B,0)),"默认")</f>
        <v/>
      </c>
      <c r="G15" s="34">
        <f>IFERROR(INDEX('07_权限映射过程'!$D:$D,MATCH(B15,'07_权限映射过程'!$B:$B,0)),"默认")</f>
        <v/>
      </c>
      <c r="H15" s="34">
        <f>IF(D15="","待生成","已生成")</f>
        <v/>
      </c>
    </row>
    <row r="16">
      <c r="A16" s="2" t="inlineStr">
        <is>
          <t>钢材模块</t>
        </is>
      </c>
      <c r="B16" s="2" t="inlineStr">
        <is>
          <t>钢材间接排放因子(kgCO2e/kg)</t>
        </is>
      </c>
      <c r="C16" s="2" t="inlineStr">
        <is>
          <t>kgCO2e/kg</t>
        </is>
      </c>
      <c r="D16" s="34">
        <f>IFERROR(INDEX('10_CBAM中间表'!$D:$D,MATCH(B16,'10_CBAM中间表'!$B:$B,0)),"")</f>
        <v/>
      </c>
      <c r="E16" s="34">
        <f>IFERROR(INDEX('05_证据映射过程'!$E:$E,MATCH(B16,'05_证据映射过程'!$B:$B,0)),"不适用/默认")</f>
        <v/>
      </c>
      <c r="F16" s="34">
        <f>IFERROR(INDEX('06_核验映射过程'!$D:$D,MATCH(B16,'06_核验映射过程'!$B:$B,0)),"默认")</f>
        <v/>
      </c>
      <c r="G16" s="34">
        <f>IFERROR(INDEX('07_权限映射过程'!$D:$D,MATCH(B16,'07_权限映射过程'!$B:$B,0)),"默认")</f>
        <v/>
      </c>
      <c r="H16" s="34">
        <f>IF(D16="","待生成","已生成")</f>
        <v/>
      </c>
    </row>
    <row r="17" ht="27" customHeight="1" s="30">
      <c r="A17" s="2" t="inlineStr">
        <is>
          <t>钢材模块</t>
        </is>
      </c>
      <c r="B17" s="2" t="inlineStr">
        <is>
          <t>钢材总嵌入排放(kgCO2e/申报单元)</t>
        </is>
      </c>
      <c r="C17" s="2" t="inlineStr">
        <is>
          <t>kgCO2e/declared unit</t>
        </is>
      </c>
      <c r="D17" s="34">
        <f>IFERROR(INDEX('10_CBAM中间表'!$D:$D,MATCH(B17,'10_CBAM中间表'!$B:$B,0)),"")</f>
        <v/>
      </c>
      <c r="E17" s="34">
        <f>IFERROR(INDEX('05_证据映射过程'!$E:$E,MATCH(B17,'05_证据映射过程'!$B:$B,0)),"不适用/默认")</f>
        <v/>
      </c>
      <c r="F17" s="34">
        <f>IFERROR(INDEX('06_核验映射过程'!$D:$D,MATCH(B17,'06_核验映射过程'!$B:$B,0)),"默认")</f>
        <v/>
      </c>
      <c r="G17" s="34">
        <f>IFERROR(INDEX('07_权限映射过程'!$D:$D,MATCH(B17,'07_权限映射过程'!$B:$B,0)),"默认")</f>
        <v/>
      </c>
      <c r="H17" s="34">
        <f>IF(D17="","待生成","已生成")</f>
        <v/>
      </c>
    </row>
    <row r="18">
      <c r="A18" s="2" t="inlineStr">
        <is>
          <t>钢材模块</t>
        </is>
      </c>
      <c r="B18" s="2" t="inlineStr">
        <is>
          <t>钢材核验状态</t>
        </is>
      </c>
      <c r="C18" s="2" t="inlineStr">
        <is>
          <t>文本</t>
        </is>
      </c>
      <c r="D18" s="34">
        <f>IFERROR(INDEX('10_CBAM中间表'!$D:$D,MATCH(B18,'10_CBAM中间表'!$B:$B,0)),"")</f>
        <v/>
      </c>
      <c r="E18" s="34">
        <f>IFERROR(INDEX('05_证据映射过程'!$E:$E,MATCH(B18,'05_证据映射过程'!$B:$B,0)),"不适用/默认")</f>
        <v/>
      </c>
      <c r="F18" s="34">
        <f>IFERROR(INDEX('06_核验映射过程'!$D:$D,MATCH(B18,'06_核验映射过程'!$B:$B,0)),"默认")</f>
        <v/>
      </c>
      <c r="G18" s="34">
        <f>IFERROR(INDEX('07_权限映射过程'!$D:$D,MATCH(B18,'07_权限映射过程'!$B:$B,0)),"默认")</f>
        <v/>
      </c>
      <c r="H18" s="34">
        <f>IF(D18="","待生成","已生成")</f>
        <v/>
      </c>
    </row>
    <row r="19" ht="27" customHeight="1" s="30">
      <c r="A19" s="2" t="inlineStr">
        <is>
          <t>汇总</t>
        </is>
      </c>
      <c r="B19" s="2" t="inlineStr">
        <is>
          <t>覆盖材料总嵌入排放(kgCO2e/申报单元)</t>
        </is>
      </c>
      <c r="C19" s="2" t="inlineStr">
        <is>
          <t>kgCO2e/declared unit</t>
        </is>
      </c>
      <c r="D19" s="34">
        <f>IFERROR(INDEX('10_CBAM中间表'!$D:$D,MATCH(B19,'10_CBAM中间表'!$B:$B,0)),"")</f>
        <v/>
      </c>
      <c r="E19" s="34">
        <f>IFERROR(INDEX('05_证据映射过程'!$E:$E,MATCH(B19,'05_证据映射过程'!$B:$B,0)),"不适用/默认")</f>
        <v/>
      </c>
      <c r="F19" s="34">
        <f>IFERROR(INDEX('06_核验映射过程'!$D:$D,MATCH(B19,'06_核验映射过程'!$B:$B,0)),"默认")</f>
        <v/>
      </c>
      <c r="G19" s="34">
        <f>IFERROR(INDEX('07_权限映射过程'!$D:$D,MATCH(B19,'07_权限映射过程'!$B:$B,0)),"默认")</f>
        <v/>
      </c>
      <c r="H19" s="34">
        <f>IF(D19="","待生成","已生成")</f>
        <v/>
      </c>
    </row>
    <row r="20">
      <c r="A20" s="2" t="inlineStr">
        <is>
          <t>汇总</t>
        </is>
      </c>
      <c r="B20" s="2" t="inlineStr">
        <is>
          <t>覆盖材料占整包总排放比重</t>
        </is>
      </c>
      <c r="C20" s="2" t="inlineStr">
        <is>
          <t>%</t>
        </is>
      </c>
      <c r="D20" s="34">
        <f>IFERROR(INDEX('10_CBAM中间表'!$D:$D,MATCH(B20,'10_CBAM中间表'!$B:$B,0)),"")</f>
        <v/>
      </c>
      <c r="E20" s="34">
        <f>IFERROR(INDEX('05_证据映射过程'!$E:$E,MATCH(B20,'05_证据映射过程'!$B:$B,0)),"不适用/默认")</f>
        <v/>
      </c>
      <c r="F20" s="34">
        <f>IFERROR(INDEX('06_核验映射过程'!$D:$D,MATCH(B20,'06_核验映射过程'!$B:$B,0)),"默认")</f>
        <v/>
      </c>
      <c r="G20" s="34">
        <f>IFERROR(INDEX('07_权限映射过程'!$D:$D,MATCH(B20,'07_权限映射过程'!$B:$B,0)),"默认")</f>
        <v/>
      </c>
      <c r="H20" s="34">
        <f>IF(D20="","待生成","已生成")</f>
        <v/>
      </c>
    </row>
    <row r="21">
      <c r="A21" s="2" t="inlineStr">
        <is>
          <t>汇总</t>
        </is>
      </c>
      <c r="B21" s="2" t="inlineStr">
        <is>
          <t>供应商 PCF 覆盖率</t>
        </is>
      </c>
      <c r="C21" s="2" t="inlineStr">
        <is>
          <t>%</t>
        </is>
      </c>
      <c r="D21" s="34">
        <f>IFERROR(INDEX('10_CBAM中间表'!$D:$D,MATCH(B21,'10_CBAM中间表'!$B:$B,0)),"")</f>
        <v/>
      </c>
      <c r="E21" s="34">
        <f>IFERROR(INDEX('05_证据映射过程'!$E:$E,MATCH(B21,'05_证据映射过程'!$B:$B,0)),"不适用/默认")</f>
        <v/>
      </c>
      <c r="F21" s="34">
        <f>IFERROR(INDEX('06_核验映射过程'!$D:$D,MATCH(B21,'06_核验映射过程'!$B:$B,0)),"默认")</f>
        <v/>
      </c>
      <c r="G21" s="34">
        <f>IFERROR(INDEX('07_权限映射过程'!$D:$D,MATCH(B21,'07_权限映射过程'!$B:$B,0)),"默认")</f>
        <v/>
      </c>
      <c r="H21" s="34">
        <f>IF(D21="","待生成","已生成")</f>
        <v/>
      </c>
    </row>
    <row r="22">
      <c r="A22" s="2" t="inlineStr">
        <is>
          <t>综合状态</t>
        </is>
      </c>
      <c r="B22" s="2" t="inlineStr">
        <is>
          <t>CBAM 兼容输出完备度</t>
        </is>
      </c>
      <c r="C22" s="2" t="inlineStr">
        <is>
          <t>%</t>
        </is>
      </c>
      <c r="D22" s="34">
        <f>IFERROR(INDEX('10_CBAM中间表'!$D:$D,MATCH(B22,'10_CBAM中间表'!$B:$B,0)),"")</f>
        <v/>
      </c>
      <c r="E22" s="34">
        <f>IFERROR(INDEX('05_证据映射过程'!$E:$E,MATCH(B22,'05_证据映射过程'!$B:$B,0)),"不适用/默认")</f>
        <v/>
      </c>
      <c r="F22" s="34">
        <f>IFERROR(INDEX('06_核验映射过程'!$D:$D,MATCH(B22,'06_核验映射过程'!$B:$B,0)),"默认")</f>
        <v/>
      </c>
      <c r="G22" s="34">
        <f>IFERROR(INDEX('07_权限映射过程'!$D:$D,MATCH(B22,'07_权限映射过程'!$B:$B,0)),"默认")</f>
        <v/>
      </c>
      <c r="H22" s="34">
        <f>IF(D22="","待生成","已生成")</f>
        <v/>
      </c>
    </row>
    <row r="23">
      <c r="A23" s="2" t="inlineStr">
        <is>
          <t>综合状态</t>
        </is>
      </c>
      <c r="B23" s="2" t="inlineStr">
        <is>
          <t>CBAM 兼容输出结论</t>
        </is>
      </c>
      <c r="C23" s="2" t="inlineStr">
        <is>
          <t>文本</t>
        </is>
      </c>
      <c r="D23" s="34">
        <f>IFERROR(INDEX('10_CBAM中间表'!$D:$D,MATCH(B23,'10_CBAM中间表'!$B:$B,0)),"")</f>
        <v/>
      </c>
      <c r="E23" s="34">
        <f>IFERROR(INDEX('05_证据映射过程'!$E:$E,MATCH(B23,'05_证据映射过程'!$B:$B,0)),"不适用/默认")</f>
        <v/>
      </c>
      <c r="F23" s="34">
        <f>IFERROR(INDEX('06_核验映射过程'!$D:$D,MATCH(B23,'06_核验映射过程'!$B:$B,0)),"默认")</f>
        <v/>
      </c>
      <c r="G23" s="34">
        <f>IFERROR(INDEX('07_权限映射过程'!$D:$D,MATCH(B23,'07_权限映射过程'!$B:$B,0)),"默认")</f>
        <v/>
      </c>
      <c r="H23" s="34">
        <f>IF(D23="","待生成","已生成")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:H23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2" customWidth="1" style="30" min="1" max="1"/>
    <col width="30" customWidth="1" style="30" min="2" max="2"/>
    <col width="24" customWidth="1" style="30" min="3" max="3"/>
    <col width="16" customWidth="1" style="30" min="4" max="4"/>
    <col width="12" customWidth="1" style="30" min="5" max="5"/>
    <col width="22" customWidth="1" style="30" min="6" max="6"/>
    <col width="18" customWidth="1" style="30" min="7" max="7"/>
    <col width="10" customWidth="1" style="30" min="8" max="8"/>
  </cols>
  <sheetData>
    <row r="1">
      <c r="A1" s="32" t="inlineStr">
        <is>
          <t>字段映射：从 CATL 输入到 EU / CBAM 输出</t>
        </is>
      </c>
      <c r="B1" s="27" t="n"/>
      <c r="C1" s="27" t="n"/>
      <c r="D1" s="27" t="n"/>
      <c r="E1" s="27" t="n"/>
      <c r="F1" s="27" t="n"/>
      <c r="G1" s="27" t="n"/>
      <c r="H1" s="28" t="n"/>
    </row>
    <row r="3">
      <c r="A3" s="1" t="inlineStr">
        <is>
          <t>映射层</t>
        </is>
      </c>
      <c r="B3" s="1" t="inlineStr">
        <is>
          <t>目标字段</t>
        </is>
      </c>
      <c r="C3" s="1" t="inlineStr">
        <is>
          <t>输入字段代码</t>
        </is>
      </c>
      <c r="D3" s="1" t="inlineStr">
        <is>
          <t>输入当前值</t>
        </is>
      </c>
      <c r="E3" s="1" t="inlineStr">
        <is>
          <t>目标制度</t>
        </is>
      </c>
      <c r="F3" s="1" t="inlineStr">
        <is>
          <t>转换方式</t>
        </is>
      </c>
      <c r="G3" s="1" t="inlineStr">
        <is>
          <t>转换后结果预览</t>
        </is>
      </c>
      <c r="H3" s="1" t="inlineStr">
        <is>
          <t>是否关键</t>
        </is>
      </c>
    </row>
    <row r="4">
      <c r="A4" s="2" t="inlineStr">
        <is>
          <t>字段映射</t>
        </is>
      </c>
      <c r="B4" s="2" t="inlineStr">
        <is>
          <t>制造商名称</t>
        </is>
      </c>
      <c r="C4" s="2" t="inlineStr">
        <is>
          <t>manufacturer_name</t>
        </is>
      </c>
      <c r="D4" s="34">
        <f>INDEX('01_手动输入'!$G:$G,MATCH("manufacturer_name",'01_手动输入'!$B:$B,0))</f>
        <v/>
      </c>
      <c r="E4" s="2" t="inlineStr">
        <is>
          <t>EU</t>
        </is>
      </c>
      <c r="F4" s="2" t="inlineStr">
        <is>
          <t>直接映射</t>
        </is>
      </c>
      <c r="G4" s="34">
        <f>INDEX('01_手动输入'!$G:$G,MATCH("manufacturer_name",'01_手动输入'!$B:$B,0))</f>
        <v/>
      </c>
      <c r="H4" s="2" t="inlineStr">
        <is>
          <t>是</t>
        </is>
      </c>
    </row>
    <row r="5" ht="27" customHeight="1" s="30">
      <c r="A5" s="2" t="inlineStr">
        <is>
          <t>字段映射</t>
        </is>
      </c>
      <c r="B5" s="2" t="inlineStr">
        <is>
          <t>电池型号</t>
        </is>
      </c>
      <c r="C5" s="2" t="inlineStr">
        <is>
          <t>model_code</t>
        </is>
      </c>
      <c r="D5" s="34">
        <f>INDEX('01_手动输入'!$G:$G,MATCH("model_code",'01_手动输入'!$B:$B,0))</f>
        <v/>
      </c>
      <c r="E5" s="2" t="inlineStr">
        <is>
          <t>EU+CBAM</t>
        </is>
      </c>
      <c r="F5" s="2" t="inlineStr">
        <is>
          <t>直接映射</t>
        </is>
      </c>
      <c r="G5" s="34">
        <f>INDEX('01_手动输入'!$G:$G,MATCH("model_code",'01_手动输入'!$B:$B,0))</f>
        <v/>
      </c>
      <c r="H5" s="2" t="inlineStr">
        <is>
          <t>是</t>
        </is>
      </c>
    </row>
    <row r="6" ht="27" customHeight="1" s="30">
      <c r="A6" s="2" t="inlineStr">
        <is>
          <t>字段映射</t>
        </is>
      </c>
      <c r="B6" s="2" t="inlineStr">
        <is>
          <t>制造工厂代码</t>
        </is>
      </c>
      <c r="C6" s="2" t="inlineStr">
        <is>
          <t>plant_code</t>
        </is>
      </c>
      <c r="D6" s="34">
        <f>INDEX('01_手动输入'!$G:$G,MATCH("plant_code",'01_手动输入'!$B:$B,0))</f>
        <v/>
      </c>
      <c r="E6" s="2" t="inlineStr">
        <is>
          <t>EU+CBAM</t>
        </is>
      </c>
      <c r="F6" s="2" t="inlineStr">
        <is>
          <t>直接映射</t>
        </is>
      </c>
      <c r="G6" s="34">
        <f>INDEX('01_手动输入'!$G:$G,MATCH("plant_code",'01_手动输入'!$B:$B,0))</f>
        <v/>
      </c>
      <c r="H6" s="2" t="inlineStr">
        <is>
          <t>是</t>
        </is>
      </c>
    </row>
    <row r="7">
      <c r="A7" s="2" t="inlineStr">
        <is>
          <t>字段映射</t>
        </is>
      </c>
      <c r="B7" s="2" t="inlineStr">
        <is>
          <t>报告期</t>
        </is>
      </c>
      <c r="C7" s="2" t="inlineStr">
        <is>
          <t>reporting_period</t>
        </is>
      </c>
      <c r="D7" s="34">
        <f>INDEX('01_手动输入'!$G:$G,MATCH("reporting_period",'01_手动输入'!$B:$B,0))</f>
        <v/>
      </c>
      <c r="E7" s="2" t="inlineStr">
        <is>
          <t>EU+CBAM</t>
        </is>
      </c>
      <c r="F7" s="2" t="inlineStr">
        <is>
          <t>公司周期转产品周期</t>
        </is>
      </c>
      <c r="G7" s="34">
        <f>INDEX('01_手动输入'!$G:$G,MATCH("reporting_period",'01_手动输入'!$B:$B,0))</f>
        <v/>
      </c>
      <c r="H7" s="2" t="inlineStr">
        <is>
          <t>是</t>
        </is>
      </c>
    </row>
    <row r="8">
      <c r="A8" s="2" t="inlineStr">
        <is>
          <t>字段映射</t>
        </is>
      </c>
      <c r="B8" s="2" t="inlineStr">
        <is>
          <t>声明总碳足迹(kgCO2e/kWh)</t>
        </is>
      </c>
      <c r="C8" s="2" t="inlineStr">
        <is>
          <t>pack_capacity_kwh</t>
        </is>
      </c>
      <c r="D8" s="6">
        <f>INDEX('01_手动输入'!$G:$G,MATCH("pack_capacity_kwh",'01_手动输入'!$B:$B,0))</f>
        <v/>
      </c>
      <c r="E8" s="2" t="inlineStr">
        <is>
          <t>EU</t>
        </is>
      </c>
      <c r="F8" s="2" t="inlineStr">
        <is>
          <t>生命周期计算后输出</t>
        </is>
      </c>
      <c r="G8" s="6" t="n">
        <v>48.97163120567376</v>
      </c>
      <c r="H8" s="2" t="inlineStr">
        <is>
          <t>是</t>
        </is>
      </c>
    </row>
    <row r="9">
      <c r="A9" s="2" t="inlineStr">
        <is>
          <t>字段映射</t>
        </is>
      </c>
      <c r="B9" s="2" t="inlineStr">
        <is>
          <t>原材料阶段(kgCO2e/kWh)</t>
        </is>
      </c>
      <c r="C9" s="2" t="inlineStr">
        <is>
          <t>cathode_mass_kg</t>
        </is>
      </c>
      <c r="D9" s="6" t="n">
        <v>140</v>
      </c>
      <c r="E9" s="2" t="inlineStr">
        <is>
          <t>EU</t>
        </is>
      </c>
      <c r="F9" s="2" t="inlineStr">
        <is>
          <t>材料质量 x 材料因子</t>
        </is>
      </c>
      <c r="G9" s="6" t="n">
        <v>44.23611111111111</v>
      </c>
      <c r="H9" s="2" t="inlineStr">
        <is>
          <t>是</t>
        </is>
      </c>
    </row>
    <row r="10" ht="27" customHeight="1" s="30">
      <c r="A10" s="2" t="inlineStr">
        <is>
          <t>字段映射</t>
        </is>
      </c>
      <c r="B10" s="2" t="inlineStr">
        <is>
          <t>制造阶段(kgCO2e/kWh)</t>
        </is>
      </c>
      <c r="C10" s="2" t="inlineStr">
        <is>
          <t>grid_electricity_kwh</t>
        </is>
      </c>
      <c r="D10" s="6" t="n">
        <v>450</v>
      </c>
      <c r="E10" s="2" t="inlineStr">
        <is>
          <t>EU</t>
        </is>
      </c>
      <c r="F10" s="2" t="inlineStr">
        <is>
          <t>能耗 + 工艺排放 + 良率调整</t>
        </is>
      </c>
      <c r="G10" s="6" t="n">
        <v>4.360520094562649</v>
      </c>
      <c r="H10" s="2" t="inlineStr">
        <is>
          <t>是</t>
        </is>
      </c>
    </row>
    <row r="11">
      <c r="A11" s="2" t="inlineStr">
        <is>
          <t>字段映射</t>
        </is>
      </c>
      <c r="B11" s="2" t="inlineStr">
        <is>
          <t>再生锂占比</t>
        </is>
      </c>
      <c r="C11" s="2" t="inlineStr">
        <is>
          <t>recycled_lithium_pct</t>
        </is>
      </c>
      <c r="D11" s="6" t="n">
        <v>0.08</v>
      </c>
      <c r="E11" s="2" t="inlineStr">
        <is>
          <t>EU</t>
        </is>
      </c>
      <c r="F11" s="2" t="inlineStr">
        <is>
          <t>直接映射</t>
        </is>
      </c>
      <c r="G11" s="6" t="n">
        <v>0.08</v>
      </c>
      <c r="H11" s="2" t="inlineStr">
        <is>
          <t>是</t>
        </is>
      </c>
    </row>
    <row r="12" ht="27" customHeight="1" s="30">
      <c r="A12" s="2" t="inlineStr">
        <is>
          <t>字段映射</t>
        </is>
      </c>
      <c r="B12" s="2" t="inlineStr">
        <is>
          <t>供应链追溯覆盖率</t>
        </is>
      </c>
      <c r="C12" s="2" t="inlineStr">
        <is>
          <t>supplier_traceability_coverage_pct</t>
        </is>
      </c>
      <c r="D12" s="6" t="n">
        <v>0.92</v>
      </c>
      <c r="E12" s="2" t="inlineStr">
        <is>
          <t>EU</t>
        </is>
      </c>
      <c r="F12" s="2" t="inlineStr">
        <is>
          <t>直接映射</t>
        </is>
      </c>
      <c r="G12" s="6" t="n">
        <v>0.92</v>
      </c>
      <c r="H12" s="2" t="inlineStr">
        <is>
          <t>是</t>
        </is>
      </c>
    </row>
    <row r="13" ht="27" customHeight="1" s="30">
      <c r="A13" s="2" t="inlineStr">
        <is>
          <t>字段映射</t>
        </is>
      </c>
      <c r="B13" s="2" t="inlineStr">
        <is>
          <t>铝材总嵌入排放(kgCO2e/申报单元)</t>
        </is>
      </c>
      <c r="C13" s="2" t="inlineStr">
        <is>
          <t>aluminium_mass_kg</t>
        </is>
      </c>
      <c r="D13" s="6" t="n">
        <v>80</v>
      </c>
      <c r="E13" s="2" t="inlineStr">
        <is>
          <t>CBAM</t>
        </is>
      </c>
      <c r="F13" s="2" t="inlineStr">
        <is>
          <t>铝材质量 x (直接+间接因子)</t>
        </is>
      </c>
      <c r="G13" s="6" t="n">
        <v>1120</v>
      </c>
      <c r="H13" s="2" t="inlineStr">
        <is>
          <t>是</t>
        </is>
      </c>
    </row>
    <row r="14" ht="27" customHeight="1" s="30">
      <c r="A14" s="2" t="inlineStr">
        <is>
          <t>字段映射</t>
        </is>
      </c>
      <c r="B14" s="2" t="inlineStr">
        <is>
          <t>钢材总嵌入排放(kgCO2e/申报单元)</t>
        </is>
      </c>
      <c r="C14" s="2" t="inlineStr">
        <is>
          <t>steel_mass_kg</t>
        </is>
      </c>
      <c r="D14" s="6" t="n">
        <v>30</v>
      </c>
      <c r="E14" s="2" t="inlineStr">
        <is>
          <t>CBAM</t>
        </is>
      </c>
      <c r="F14" s="2" t="inlineStr">
        <is>
          <t>钢材质量 x (直接+间接因子)</t>
        </is>
      </c>
      <c r="G14" s="6" t="n">
        <v>81</v>
      </c>
      <c r="H14" s="2" t="inlineStr">
        <is>
          <t>是</t>
        </is>
      </c>
    </row>
    <row r="15" ht="27" customHeight="1" s="30">
      <c r="A15" s="2" t="inlineStr">
        <is>
          <t>字段映射</t>
        </is>
      </c>
      <c r="B15" s="2" t="inlineStr">
        <is>
          <t>覆盖材料总嵌入排放(kgCO2e/申报单元)</t>
        </is>
      </c>
      <c r="C15" s="2" t="inlineStr">
        <is>
          <t>supplier_pcf_coverage_pct</t>
        </is>
      </c>
      <c r="D15" s="6" t="n">
        <v>0.76</v>
      </c>
      <c r="E15" s="2" t="inlineStr">
        <is>
          <t>CBAM</t>
        </is>
      </c>
      <c r="F15" s="2" t="inlineStr">
        <is>
          <t>铝材 + 钢材汇总</t>
        </is>
      </c>
      <c r="G15" s="6" t="n">
        <v>1201</v>
      </c>
      <c r="H15" s="2" t="inlineStr">
        <is>
          <t>是</t>
        </is>
      </c>
    </row>
    <row r="16">
      <c r="A16" s="2" t="inlineStr">
        <is>
          <t>字段映射</t>
        </is>
      </c>
      <c r="B16" s="2" t="inlineStr">
        <is>
          <t>分层访问矩阵</t>
        </is>
      </c>
      <c r="C16" s="2" t="inlineStr">
        <is>
          <t>access_matrix_status</t>
        </is>
      </c>
      <c r="D16" s="34" t="inlineStr">
        <is>
          <t>齐备</t>
        </is>
      </c>
      <c r="E16" s="2" t="inlineStr">
        <is>
          <t>EU+CBAM</t>
        </is>
      </c>
      <c r="F16" s="2" t="inlineStr">
        <is>
          <t>控制结果可见范围</t>
        </is>
      </c>
      <c r="G16" s="34" t="inlineStr">
        <is>
          <t>齐备</t>
        </is>
      </c>
      <c r="H16" s="2" t="inlineStr">
        <is>
          <t>是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:H16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0" customWidth="1" style="30" min="1" max="1"/>
    <col width="24" customWidth="1" style="30" min="2" max="2"/>
    <col width="28" customWidth="1" style="30" min="3" max="3"/>
    <col width="24" customWidth="1" style="30" min="4" max="4"/>
    <col width="12" customWidth="1" style="30" min="5" max="5"/>
  </cols>
  <sheetData>
    <row r="1">
      <c r="A1" s="33" t="inlineStr">
        <is>
          <t>证据映射：每个输出字段背后需要什么证据</t>
        </is>
      </c>
      <c r="B1" s="22" t="n"/>
      <c r="C1" s="22" t="n"/>
      <c r="D1" s="22" t="n"/>
      <c r="E1" s="23" t="n"/>
    </row>
    <row r="3">
      <c r="A3" s="8" t="inlineStr">
        <is>
          <t>目标制度</t>
        </is>
      </c>
      <c r="B3" s="8" t="inlineStr">
        <is>
          <t>目标字段</t>
        </is>
      </c>
      <c r="C3" s="8" t="inlineStr">
        <is>
          <t>主要证据</t>
        </is>
      </c>
      <c r="D3" s="8" t="inlineStr">
        <is>
          <t>触发逻辑</t>
        </is>
      </c>
      <c r="E3" s="8" t="inlineStr">
        <is>
          <t>证据状态</t>
        </is>
      </c>
    </row>
    <row r="4">
      <c r="A4" s="9" t="inlineStr">
        <is>
          <t>EU</t>
        </is>
      </c>
      <c r="B4" s="9" t="inlineStr">
        <is>
          <t>制造商名称</t>
        </is>
      </c>
      <c r="C4" s="9" t="inlineStr">
        <is>
          <t>营业执照 / 年报 / 主体主数据</t>
        </is>
      </c>
      <c r="D4" s="9" t="inlineStr">
        <is>
          <t>有主体名称即通过</t>
        </is>
      </c>
      <c r="E4" s="9">
        <f>IF(INDEX('01_手动输入'!$G:$G,MATCH("manufacturer_name",'01_手动输入'!$B:$B,0))&lt;&gt;"","证据齐备","待补证据")</f>
        <v/>
      </c>
    </row>
    <row r="5">
      <c r="A5" s="9" t="inlineStr">
        <is>
          <t>EU</t>
        </is>
      </c>
      <c r="B5" s="9" t="inlineStr">
        <is>
          <t>产品名称</t>
        </is>
      </c>
      <c r="C5" s="9" t="inlineStr">
        <is>
          <t>产品主数据 / 型号注册表</t>
        </is>
      </c>
      <c r="D5" s="9" t="inlineStr">
        <is>
          <t>有产品名即通过</t>
        </is>
      </c>
      <c r="E5" s="9">
        <f>IF(INDEX('01_手动输入'!$G:$G,MATCH("product_name",'01_手动输入'!$B:$B,0))&lt;&gt;"","证据齐备","待补证据")</f>
        <v/>
      </c>
    </row>
    <row r="6">
      <c r="A6" s="9" t="inlineStr">
        <is>
          <t>EU</t>
        </is>
      </c>
      <c r="B6" s="9" t="inlineStr">
        <is>
          <t>电池型号</t>
        </is>
      </c>
      <c r="C6" s="9" t="inlineStr">
        <is>
          <t>型号注册表 / 产品主数据</t>
        </is>
      </c>
      <c r="D6" s="9" t="inlineStr">
        <is>
          <t>有型号即通过</t>
        </is>
      </c>
      <c r="E6" s="9">
        <f>IF(INDEX('01_手动输入'!$G:$G,MATCH("model_code",'01_手动输入'!$B:$B,0))&lt;&gt;"","证据齐备","待补证据")</f>
        <v/>
      </c>
    </row>
    <row r="7">
      <c r="A7" s="9" t="inlineStr">
        <is>
          <t>EU</t>
        </is>
      </c>
      <c r="B7" s="9" t="inlineStr">
        <is>
          <t>产品类别</t>
        </is>
      </c>
      <c r="C7" s="9" t="inlineStr">
        <is>
          <t>技术规格书 / 产品主数据</t>
        </is>
      </c>
      <c r="D7" s="9" t="inlineStr">
        <is>
          <t>有类别即通过</t>
        </is>
      </c>
      <c r="E7" s="9">
        <f>IF(INDEX('01_手动输入'!$G:$G,MATCH("battery_category",'01_手动输入'!$B:$B,0))&lt;&gt;"","证据齐备","待补证据")</f>
        <v/>
      </c>
    </row>
    <row r="8">
      <c r="A8" s="9" t="inlineStr">
        <is>
          <t>EU</t>
        </is>
      </c>
      <c r="B8" s="9" t="inlineStr">
        <is>
          <t>化学体系</t>
        </is>
      </c>
      <c r="C8" s="9" t="inlineStr">
        <is>
          <t>规格书 / BOM</t>
        </is>
      </c>
      <c r="D8" s="9" t="inlineStr">
        <is>
          <t>有化学体系即通过</t>
        </is>
      </c>
      <c r="E8" s="9">
        <f>IF(INDEX('01_手动输入'!$G:$G,MATCH("chemistry",'01_手动输入'!$B:$B,0))&lt;&gt;"","证据齐备","待补证据")</f>
        <v/>
      </c>
    </row>
    <row r="9">
      <c r="A9" s="9" t="inlineStr">
        <is>
          <t>EU</t>
        </is>
      </c>
      <c r="B9" s="9" t="inlineStr">
        <is>
          <t>制造工厂代码</t>
        </is>
      </c>
      <c r="C9" s="9" t="inlineStr">
        <is>
          <t>工厂注册表 / 生产登记</t>
        </is>
      </c>
      <c r="D9" s="9" t="inlineStr">
        <is>
          <t>有工厂代码即通过</t>
        </is>
      </c>
      <c r="E9" s="9">
        <f>IF(INDEX('01_手动输入'!$G:$G,MATCH("plant_code",'01_手动输入'!$B:$B,0))&lt;&gt;"","证据齐备","待补证据")</f>
        <v/>
      </c>
    </row>
    <row r="10">
      <c r="A10" s="9" t="inlineStr">
        <is>
          <t>EU</t>
        </is>
      </c>
      <c r="B10" s="9" t="inlineStr">
        <is>
          <t>制造工厂名称</t>
        </is>
      </c>
      <c r="C10" s="9" t="inlineStr">
        <is>
          <t>工厂主数据</t>
        </is>
      </c>
      <c r="D10" s="9" t="inlineStr">
        <is>
          <t>有工厂名即通过</t>
        </is>
      </c>
      <c r="E10" s="9">
        <f>IF(INDEX('01_手动输入'!$G:$G,MATCH("plant_name",'01_手动输入'!$B:$B,0))&lt;&gt;"","证据齐备","待补证据")</f>
        <v/>
      </c>
    </row>
    <row r="11">
      <c r="A11" s="9" t="inlineStr">
        <is>
          <t>EU</t>
        </is>
      </c>
      <c r="B11" s="9" t="inlineStr">
        <is>
          <t>报告期</t>
        </is>
      </c>
      <c r="C11" s="9" t="inlineStr">
        <is>
          <t>产品报告期规则 / 排产记录</t>
        </is>
      </c>
      <c r="D11" s="9" t="inlineStr">
        <is>
          <t>有报告期即通过</t>
        </is>
      </c>
      <c r="E11" s="9">
        <f>IF(INDEX('01_手动输入'!$G:$G,MATCH("reporting_period",'01_手动输入'!$B:$B,0))&lt;&gt;"","证据齐备","待补证据")</f>
        <v/>
      </c>
    </row>
    <row r="12" ht="27" customHeight="1" s="30">
      <c r="A12" s="9" t="inlineStr">
        <is>
          <t>EU</t>
        </is>
      </c>
      <c r="B12" s="9" t="inlineStr">
        <is>
          <t>申报单元申报单元额定容量(kWh)</t>
        </is>
      </c>
      <c r="C12" s="9" t="inlineStr">
        <is>
          <t>规格书 / 测试报告</t>
        </is>
      </c>
      <c r="D12" s="9" t="inlineStr">
        <is>
          <t>容量&gt;0</t>
        </is>
      </c>
      <c r="E12" s="9">
        <f>IF(AND(INDEX('01_手动输入'!$G:$G,MATCH("pack_capacity_kwh",'01_手动输入'!$B:$B,0))&gt;0,INDEX('01_手动输入'!$G:$G,MATCH("test_report_status",'01_手动输入'!$B:$B,0))="齐备"),"证据齐备","待补证据")</f>
        <v/>
      </c>
    </row>
    <row r="13">
      <c r="A13" s="9" t="inlineStr">
        <is>
          <t>EU</t>
        </is>
      </c>
      <c r="B13" s="9" t="inlineStr">
        <is>
          <t>标称电压(V)</t>
        </is>
      </c>
      <c r="C13" s="9" t="inlineStr">
        <is>
          <t>规格书 / 测试报告</t>
        </is>
      </c>
      <c r="D13" s="9" t="inlineStr">
        <is>
          <t>电压&gt;0</t>
        </is>
      </c>
      <c r="E13" s="9">
        <f>IF(AND(INDEX('01_手动输入'!$G:$G,MATCH("nominal_voltage_v",'01_手动输入'!$B:$B,0))&gt;0,INDEX('01_手动输入'!$G:$G,MATCH("test_report_status",'01_手动输入'!$B:$B,0))="齐备"),"证据齐备","待补证据")</f>
        <v/>
      </c>
    </row>
    <row r="14">
      <c r="A14" s="9" t="inlineStr">
        <is>
          <t>EU</t>
        </is>
      </c>
      <c r="B14" s="9" t="inlineStr">
        <is>
          <t>循环寿命(cycles)</t>
        </is>
      </c>
      <c r="C14" s="9" t="inlineStr">
        <is>
          <t>测试报告</t>
        </is>
      </c>
      <c r="D14" s="9" t="inlineStr">
        <is>
          <t>循环寿命&gt;0</t>
        </is>
      </c>
      <c r="E14" s="9">
        <f>IF(AND(INDEX('01_手动输入'!$G:$G,MATCH("cycle_life_cycles",'01_手动输入'!$B:$B,0))&gt;0,INDEX('01_手动输入'!$G:$G,MATCH("test_report_status",'01_手动输入'!$B:$B,0))="齐备"),"证据齐备","待补证据")</f>
        <v/>
      </c>
    </row>
    <row r="15" ht="27" customHeight="1" s="30">
      <c r="A15" s="9" t="inlineStr">
        <is>
          <t>EU</t>
        </is>
      </c>
      <c r="B15" s="9" t="inlineStr">
        <is>
          <t>声明总碳足迹(kgCO2e/申报单元)</t>
        </is>
      </c>
      <c r="C15" s="9" t="inlineStr">
        <is>
          <t>PCF 底稿 / BOM / 能耗 / 运输 / 回收数据</t>
        </is>
      </c>
      <c r="D15" s="9" t="inlineStr">
        <is>
          <t>PCF 底稿齐备</t>
        </is>
      </c>
      <c r="E15" s="9">
        <f>IF(INDEX('01_手动输入'!$G:$G,MATCH("pcf_study_status",'01_手动输入'!$B:$B,0))="齐备","证据齐备","待补证据")</f>
        <v/>
      </c>
    </row>
    <row r="16" ht="27" customHeight="1" s="30">
      <c r="A16" s="9" t="inlineStr">
        <is>
          <t>EU</t>
        </is>
      </c>
      <c r="B16" s="9" t="inlineStr">
        <is>
          <t>声明总碳足迹(kgCO2e/kWh)</t>
        </is>
      </c>
      <c r="C16" s="9" t="inlineStr">
        <is>
          <t>PCF 底稿 / 容量数据</t>
        </is>
      </c>
      <c r="D16" s="9" t="inlineStr">
        <is>
          <t>PCF 底稿齐备且容量&gt;0</t>
        </is>
      </c>
      <c r="E16" s="9">
        <f>IF(AND(INDEX('01_手动输入'!$G:$G,MATCH("pcf_study_status",'01_手动输入'!$B:$B,0))="齐备",INDEX('01_手动输入'!$G:$G,MATCH("pack_capacity_kwh",'01_手动输入'!$B:$B,0))&gt;0),"证据齐备","待补证据")</f>
        <v/>
      </c>
    </row>
    <row r="17">
      <c r="A17" s="9" t="inlineStr">
        <is>
          <t>EU</t>
        </is>
      </c>
      <c r="B17" s="9" t="inlineStr">
        <is>
          <t>原材料阶段(kgCO2e/kWh)</t>
        </is>
      </c>
      <c r="C17" s="9" t="inlineStr">
        <is>
          <t>BOM / 供应商PCF / 因子库</t>
        </is>
      </c>
      <c r="D17" s="9" t="inlineStr">
        <is>
          <t>材料量和因子齐备</t>
        </is>
      </c>
      <c r="E17" s="9">
        <f>IF(AND(INDEX('01_手动输入'!$G:$G,MATCH("supplier_pcf_coverage_pct",'01_手动输入'!$B:$B,0))&gt;=0.75,INDEX('01_手动输入'!$G:$G,MATCH("cathode_mass_kg",'01_手动输入'!$B:$B,0))&gt;=0),"证据齐备","部分齐备")</f>
        <v/>
      </c>
    </row>
    <row r="18" ht="27" customHeight="1" s="30">
      <c r="A18" s="9" t="inlineStr">
        <is>
          <t>EU</t>
        </is>
      </c>
      <c r="B18" s="9" t="inlineStr">
        <is>
          <t>制造阶段(kgCO2e/kWh)</t>
        </is>
      </c>
      <c r="C18" s="9" t="inlineStr">
        <is>
          <t>电表 / 蒸汽 / 燃气 / 工艺排放记录</t>
        </is>
      </c>
      <c r="D18" s="9" t="inlineStr">
        <is>
          <t>工厂级能耗记录齐备</t>
        </is>
      </c>
      <c r="E18" s="9">
        <f>IF(AND(INDEX('01_手动输入'!$G:$G,MATCH("grid_electricity_kwh",'01_手动输入'!$B:$B,0))&gt;=0,INDEX('01_手动输入'!$G:$G,MATCH("steam_mj",'01_手动输入'!$B:$B,0))&gt;=0,INDEX('01_手动输入'!$G:$G,MATCH("natural_gas_mj",'01_手动输入'!$B:$B,0))&gt;=0),"证据齐备","待补证据")</f>
        <v/>
      </c>
    </row>
    <row r="19">
      <c r="A19" s="9" t="inlineStr">
        <is>
          <t>EU</t>
        </is>
      </c>
      <c r="B19" s="9" t="inlineStr">
        <is>
          <t>运输阶段(kgCO2e/kWh)</t>
        </is>
      </c>
      <c r="C19" s="9" t="inlineStr">
        <is>
          <t>物流记录 / 路线清单</t>
        </is>
      </c>
      <c r="D19" s="9" t="inlineStr">
        <is>
          <t>上下游运输数据齐备</t>
        </is>
      </c>
      <c r="E19" s="9">
        <f>IF(AND(INDEX('01_手动输入'!$G:$G,MATCH("inbound_transport_kgco2",'01_手动输入'!$B:$B,0))&lt;&gt;"",INDEX('01_手动输入'!$G:$G,MATCH("outbound_transport_kgco2",'01_手动输入'!$B:$B,0))&lt;&gt;""),"证据齐备","待补证据")</f>
        <v/>
      </c>
    </row>
    <row r="20" ht="27" customHeight="1" s="30">
      <c r="A20" s="9" t="inlineStr">
        <is>
          <t>EU</t>
        </is>
      </c>
      <c r="B20" s="9" t="inlineStr">
        <is>
          <t>终端回收阶段(kgCO2e/kWh)</t>
        </is>
      </c>
      <c r="C20" s="9" t="inlineStr">
        <is>
          <t>回收方案 / 方法学说明</t>
        </is>
      </c>
      <c r="D20" s="9" t="inlineStr">
        <is>
          <t>回收信用值已声明</t>
        </is>
      </c>
      <c r="E20" s="9">
        <f>IF(INDEX('01_手动输入'!$G:$G,MATCH("end_of_life_credit_kgco2",'01_手动输入'!$B:$B,0))&lt;&gt;"","证据齐备","待补证据")</f>
        <v/>
      </c>
    </row>
    <row r="21">
      <c r="A21" s="9" t="inlineStr">
        <is>
          <t>EU</t>
        </is>
      </c>
      <c r="B21" s="9" t="inlineStr">
        <is>
          <t>再生锂占比</t>
        </is>
      </c>
      <c r="C21" s="9" t="inlineStr">
        <is>
          <t>质量平衡 / 供应商声明</t>
        </is>
      </c>
      <c r="D21" s="9" t="inlineStr">
        <is>
          <t>再生锂字段已填</t>
        </is>
      </c>
      <c r="E21" s="9">
        <f>IF(INDEX('01_手动输入'!$G:$G,MATCH("recycled_lithium_pct",'01_手动输入'!$B:$B,0))&gt;=0,"证据齐备","待补证据")</f>
        <v/>
      </c>
    </row>
    <row r="22">
      <c r="A22" s="9" t="inlineStr">
        <is>
          <t>EU</t>
        </is>
      </c>
      <c r="B22" s="9" t="inlineStr">
        <is>
          <t>再生钴占比</t>
        </is>
      </c>
      <c r="C22" s="9" t="inlineStr">
        <is>
          <t>质量平衡 / 供应商声明</t>
        </is>
      </c>
      <c r="D22" s="9" t="inlineStr">
        <is>
          <t>即使为0也应有说明</t>
        </is>
      </c>
      <c r="E22" s="9">
        <f>IF(INDEX('01_手动输入'!$G:$G,MATCH("recycled_cobalt_pct",'01_手动输入'!$B:$B,0))&gt;=0,"证据齐备","待补证据")</f>
        <v/>
      </c>
    </row>
    <row r="23">
      <c r="A23" s="9" t="inlineStr">
        <is>
          <t>EU</t>
        </is>
      </c>
      <c r="B23" s="9" t="inlineStr">
        <is>
          <t>再生镍占比</t>
        </is>
      </c>
      <c r="C23" s="9" t="inlineStr">
        <is>
          <t>质量平衡 / 供应商声明</t>
        </is>
      </c>
      <c r="D23" s="9" t="inlineStr">
        <is>
          <t>即使为0也应有说明</t>
        </is>
      </c>
      <c r="E23" s="9">
        <f>IF(INDEX('01_手动输入'!$G:$G,MATCH("recycled_nickel_pct",'01_手动输入'!$B:$B,0))&gt;=0,"证据齐备","待补证据")</f>
        <v/>
      </c>
    </row>
    <row r="24">
      <c r="A24" s="9" t="inlineStr">
        <is>
          <t>EU</t>
        </is>
      </c>
      <c r="B24" s="9" t="inlineStr">
        <is>
          <t>再生铅占比</t>
        </is>
      </c>
      <c r="C24" s="9" t="inlineStr">
        <is>
          <t>质量平衡 / 供应商声明</t>
        </is>
      </c>
      <c r="D24" s="9" t="inlineStr">
        <is>
          <t>即使为0也应有说明</t>
        </is>
      </c>
      <c r="E24" s="9">
        <f>IF(INDEX('01_手动输入'!$G:$G,MATCH("recycled_lead_pct",'01_手动输入'!$B:$B,0))&gt;=0,"证据齐备","待补证据")</f>
        <v/>
      </c>
    </row>
    <row r="25">
      <c r="A25" s="9" t="inlineStr">
        <is>
          <t>EU</t>
        </is>
      </c>
      <c r="B25" s="9" t="inlineStr">
        <is>
          <t>尽调政策链接</t>
        </is>
      </c>
      <c r="C25" s="9" t="inlineStr">
        <is>
          <t>官网政策 / 尽调制度文件</t>
        </is>
      </c>
      <c r="D25" s="9" t="inlineStr">
        <is>
          <t>有链接即可</t>
        </is>
      </c>
      <c r="E25" s="9">
        <f>IF(INDEX('01_手动输入'!$G:$G,MATCH("due_diligence_policy_url",'01_手动输入'!$B:$B,0))&lt;&gt;"","证据齐备","待补证据")</f>
        <v/>
      </c>
    </row>
    <row r="26">
      <c r="A26" s="9" t="inlineStr">
        <is>
          <t>EU</t>
        </is>
      </c>
      <c r="B26" s="9" t="inlineStr">
        <is>
          <t>关键原材料追溯范围</t>
        </is>
      </c>
      <c r="C26" s="9" t="inlineStr">
        <is>
          <t>BOM / 追溯台账</t>
        </is>
      </c>
      <c r="D26" s="9" t="inlineStr">
        <is>
          <t>有追溯范围描述即可</t>
        </is>
      </c>
      <c r="E26" s="9">
        <f>IF(INDEX('01_手动输入'!$G:$G,MATCH("critical_material_scope",'01_手动输入'!$B:$B,0))&lt;&gt;"","证据齐备","待补证据")</f>
        <v/>
      </c>
    </row>
    <row r="27">
      <c r="A27" s="9" t="inlineStr">
        <is>
          <t>EU</t>
        </is>
      </c>
      <c r="B27" s="9" t="inlineStr">
        <is>
          <t>供应链追溯覆盖率</t>
        </is>
      </c>
      <c r="C27" s="9" t="inlineStr">
        <is>
          <t>追溯台账 / 供应商清单</t>
        </is>
      </c>
      <c r="D27" s="9" t="inlineStr">
        <is>
          <t>覆盖率&gt;=0.9为强</t>
        </is>
      </c>
      <c r="E27" s="9">
        <f>IF(INDEX('01_手动输入'!$G:$G,MATCH("supplier_traceability_coverage_pct",'01_手动输入'!$B:$B,0))&gt;=0.9,"证据齐备",IF(INDEX('01_手动输入'!$G:$G,MATCH("supplier_traceability_coverage_pct",'01_手动输入'!$B:$B,0))&gt;=0.7,"部分齐备","高风险"))</f>
        <v/>
      </c>
    </row>
    <row r="28">
      <c r="A28" s="9" t="inlineStr">
        <is>
          <t>EU</t>
        </is>
      </c>
      <c r="B28" s="9" t="inlineStr">
        <is>
          <t>产品碳足迹研究底稿状态</t>
        </is>
      </c>
      <c r="C28" s="9" t="inlineStr">
        <is>
          <t>PCF 研究底稿</t>
        </is>
      </c>
      <c r="D28" s="9" t="inlineStr">
        <is>
          <t>状态=齐备</t>
        </is>
      </c>
      <c r="E28" s="9">
        <f>IF(INDEX('01_手动输入'!$G:$G,MATCH("pcf_study_status",'01_手动输入'!$B:$B,0))="齐备","证据齐备","待补证据")</f>
        <v/>
      </c>
    </row>
    <row r="29">
      <c r="A29" s="9" t="inlineStr">
        <is>
          <t>EU</t>
        </is>
      </c>
      <c r="B29" s="9" t="inlineStr">
        <is>
          <t>测试报告状态</t>
        </is>
      </c>
      <c r="C29" s="9" t="inlineStr">
        <is>
          <t>测试报告原件</t>
        </is>
      </c>
      <c r="D29" s="9" t="inlineStr">
        <is>
          <t>状态=齐备</t>
        </is>
      </c>
      <c r="E29" s="9">
        <f>IF(INDEX('01_手动输入'!$G:$G,MATCH("test_report_status",'01_手动输入'!$B:$B,0))="齐备","证据齐备","待补证据")</f>
        <v/>
      </c>
    </row>
    <row r="30">
      <c r="A30" s="9" t="inlineStr">
        <is>
          <t>EU</t>
        </is>
      </c>
      <c r="B30" s="9" t="inlineStr">
        <is>
          <t>技术文档状态</t>
        </is>
      </c>
      <c r="C30" s="9" t="inlineStr">
        <is>
          <t>技术文档 / 说明书 / 计算书</t>
        </is>
      </c>
      <c r="D30" s="9" t="inlineStr">
        <is>
          <t>状态=齐备</t>
        </is>
      </c>
      <c r="E30" s="9">
        <f>IF(INDEX('01_手动输入'!$G:$G,MATCH("technical_doc_status",'01_手动输入'!$B:$B,0))="齐备","证据齐备","待补证据")</f>
        <v/>
      </c>
    </row>
    <row r="31">
      <c r="A31" s="9" t="inlineStr">
        <is>
          <t>EU</t>
        </is>
      </c>
      <c r="B31" s="9" t="inlineStr">
        <is>
          <t>护照对象 ID</t>
        </is>
      </c>
      <c r="C31" s="9" t="inlineStr">
        <is>
          <t>护照系统对象主键</t>
        </is>
      </c>
      <c r="D31" s="9" t="inlineStr">
        <is>
          <t>对象ID不为空</t>
        </is>
      </c>
      <c r="E31" s="9">
        <f>IF(INDEX('01_手动输入'!$G:$G,MATCH("qr_object_id",'01_手动输入'!$B:$B,0))&lt;&gt;"","证据齐备","待补证据")</f>
        <v/>
      </c>
    </row>
    <row r="32">
      <c r="A32" s="9" t="inlineStr">
        <is>
          <t>EU</t>
        </is>
      </c>
      <c r="B32" s="9" t="inlineStr">
        <is>
          <t>个体电池编码前缀</t>
        </is>
      </c>
      <c r="C32" s="9" t="inlineStr">
        <is>
          <t>序列化规则</t>
        </is>
      </c>
      <c r="D32" s="9" t="inlineStr">
        <is>
          <t>前缀不为空</t>
        </is>
      </c>
      <c r="E32" s="9">
        <f>IF(INDEX('01_手动输入'!$G:$G,MATCH("individual_battery_prefix",'01_手动输入'!$B:$B,0))&lt;&gt;"","证据齐备","待补证据")</f>
        <v/>
      </c>
    </row>
    <row r="33">
      <c r="A33" s="9" t="inlineStr">
        <is>
          <t>EU</t>
        </is>
      </c>
      <c r="B33" s="9" t="inlineStr">
        <is>
          <t>EU 输出完备度</t>
        </is>
      </c>
      <c r="C33" s="9" t="inlineStr">
        <is>
          <t>系统自动汇总</t>
        </is>
      </c>
      <c r="D33" s="9" t="inlineStr">
        <is>
          <t>完备度&gt;=0.9</t>
        </is>
      </c>
      <c r="E33" s="9">
        <f>IF('09_EU中间表'!D33&gt;=0.9,"证据齐备","待补证据")</f>
        <v/>
      </c>
    </row>
    <row r="34">
      <c r="A34" s="9" t="inlineStr">
        <is>
          <t>EU</t>
        </is>
      </c>
      <c r="B34" s="9" t="inlineStr">
        <is>
          <t>EU 输出结论</t>
        </is>
      </c>
      <c r="C34" s="9" t="inlineStr">
        <is>
          <t>系统自动汇总 + 人工复核</t>
        </is>
      </c>
      <c r="D34" s="9" t="inlineStr">
        <is>
          <t>结论不为空</t>
        </is>
      </c>
      <c r="E34" s="9">
        <f>IF('09_EU中间表'!D34&lt;&gt;"","证据齐备","待补证据")</f>
        <v/>
      </c>
    </row>
    <row r="35">
      <c r="A35" s="9" t="inlineStr">
        <is>
          <t>CBAM</t>
        </is>
      </c>
      <c r="B35" s="9" t="inlineStr">
        <is>
          <t>电池型号</t>
        </is>
      </c>
      <c r="C35" s="9" t="inlineStr">
        <is>
          <t>产品主数据</t>
        </is>
      </c>
      <c r="D35" s="9" t="inlineStr">
        <is>
          <t>有型号即可</t>
        </is>
      </c>
      <c r="E35" s="9">
        <f>IF(INDEX('01_手动输入'!$G:$G,MATCH("model_code",'01_手动输入'!$B:$B,0))&lt;&gt;"","证据齐备","待补证据")</f>
        <v/>
      </c>
    </row>
    <row r="36">
      <c r="A36" s="9" t="inlineStr">
        <is>
          <t>CBAM</t>
        </is>
      </c>
      <c r="B36" s="9" t="inlineStr">
        <is>
          <t>产品报告期</t>
        </is>
      </c>
      <c r="C36" s="9" t="inlineStr">
        <is>
          <t>产品报告期规则</t>
        </is>
      </c>
      <c r="D36" s="9" t="inlineStr">
        <is>
          <t>有产品报告期即可</t>
        </is>
      </c>
      <c r="E36" s="9">
        <f>IF(INDEX('01_手动输入'!$G:$G,MATCH("reporting_period",'01_手动输入'!$B:$B,0))&lt;&gt;"","证据齐备","待补证据")</f>
        <v/>
      </c>
    </row>
    <row r="37">
      <c r="A37" s="9" t="inlineStr">
        <is>
          <t>CBAM</t>
        </is>
      </c>
      <c r="B37" s="9" t="inlineStr">
        <is>
          <t>上游材料报告期</t>
        </is>
      </c>
      <c r="C37" s="9" t="inlineStr">
        <is>
          <t>供应商报告期记录</t>
        </is>
      </c>
      <c r="D37" s="9" t="inlineStr">
        <is>
          <t>有上游报告期即可</t>
        </is>
      </c>
      <c r="E37" s="9">
        <f>IF(INDEX('01_手动输入'!$G:$G,MATCH("upstream_reporting_period",'01_手动输入'!$B:$B,0))&lt;&gt;"","证据齐备","待补证据")</f>
        <v/>
      </c>
    </row>
    <row r="38">
      <c r="A38" s="9" t="inlineStr">
        <is>
          <t>CBAM</t>
        </is>
      </c>
      <c r="B38" s="9" t="inlineStr">
        <is>
          <t>铝材供应商安装点 ID</t>
        </is>
      </c>
      <c r="C38" s="9" t="inlineStr">
        <is>
          <t>安装点主数据</t>
        </is>
      </c>
      <c r="D38" s="9" t="inlineStr">
        <is>
          <t>有安装点ID即可</t>
        </is>
      </c>
      <c r="E38" s="9">
        <f>IF(INDEX('01_手动输入'!$G:$G,MATCH("aluminium_supplier_installation_id",'01_手动输入'!$B:$B,0))&lt;&gt;"","证据齐备","待补证据")</f>
        <v/>
      </c>
    </row>
    <row r="39">
      <c r="A39" s="9" t="inlineStr">
        <is>
          <t>CBAM</t>
        </is>
      </c>
      <c r="B39" s="9" t="inlineStr">
        <is>
          <t>铝材质量(kg)</t>
        </is>
      </c>
      <c r="C39" s="9" t="inlineStr">
        <is>
          <t>BOM / 结构件清单</t>
        </is>
      </c>
      <c r="D39" s="9" t="inlineStr">
        <is>
          <t>铝材质量&gt;=0</t>
        </is>
      </c>
      <c r="E39" s="9">
        <f>IF(INDEX('01_手动输入'!$G:$G,MATCH("aluminium_mass_kg",'01_手动输入'!$B:$B,0))&gt;=0,"证据齐备","待补证据")</f>
        <v/>
      </c>
    </row>
    <row r="40" ht="27" customHeight="1" s="30">
      <c r="A40" s="9" t="inlineStr">
        <is>
          <t>CBAM</t>
        </is>
      </c>
      <c r="B40" s="9" t="inlineStr">
        <is>
          <t>铝材直接排放因子(kgCO2e/kg)</t>
        </is>
      </c>
      <c r="C40" s="9" t="inlineStr">
        <is>
          <t>供应商PCF / 安装点因子</t>
        </is>
      </c>
      <c r="D40" s="9" t="inlineStr">
        <is>
          <t>直接因子&gt;=0</t>
        </is>
      </c>
      <c r="E40" s="9">
        <f>IF(INDEX('01_手动输入'!$G:$G,MATCH("aluminium_direct_pcf",'01_手动输入'!$B:$B,0))&gt;=0,"证据齐备","待补证据")</f>
        <v/>
      </c>
    </row>
    <row r="41" ht="27" customHeight="1" s="30">
      <c r="A41" s="9" t="inlineStr">
        <is>
          <t>CBAM</t>
        </is>
      </c>
      <c r="B41" s="9" t="inlineStr">
        <is>
          <t>铝材间接排放因子(kgCO2e/kg)</t>
        </is>
      </c>
      <c r="C41" s="9" t="inlineStr">
        <is>
          <t>供应商PCF / 电力因子</t>
        </is>
      </c>
      <c r="D41" s="9" t="inlineStr">
        <is>
          <t>间接因子&gt;=0</t>
        </is>
      </c>
      <c r="E41" s="9">
        <f>IF(INDEX('01_手动输入'!$G:$G,MATCH("aluminium_indirect_pcf",'01_手动输入'!$B:$B,0))&gt;=0,"证据齐备","待补证据")</f>
        <v/>
      </c>
    </row>
    <row r="42" ht="27" customHeight="1" s="30">
      <c r="A42" s="9" t="inlineStr">
        <is>
          <t>CBAM</t>
        </is>
      </c>
      <c r="B42" s="9" t="inlineStr">
        <is>
          <t>铝材总嵌入排放(kgCO2e/申报单元)</t>
        </is>
      </c>
      <c r="C42" s="9" t="inlineStr">
        <is>
          <t>质量 x 因子计算链</t>
        </is>
      </c>
      <c r="D42" s="9" t="inlineStr">
        <is>
          <t>质量和因子齐备</t>
        </is>
      </c>
      <c r="E42" s="9">
        <f>IF(AND(INDEX('01_手动输入'!$G:$G,MATCH("aluminium_mass_kg",'01_手动输入'!$B:$B,0))&gt;=0,INDEX('01_手动输入'!$G:$G,MATCH("aluminium_direct_pcf",'01_手动输入'!$B:$B,0))&gt;=0,INDEX('01_手动输入'!$G:$G,MATCH("aluminium_indirect_pcf",'01_手动输入'!$B:$B,0))&gt;=0),"证据齐备","待补证据")</f>
        <v/>
      </c>
    </row>
    <row r="43">
      <c r="A43" s="9" t="inlineStr">
        <is>
          <t>CBAM</t>
        </is>
      </c>
      <c r="B43" s="9" t="inlineStr">
        <is>
          <t>铝材核验状态</t>
        </is>
      </c>
      <c r="C43" s="9" t="inlineStr">
        <is>
          <t>供应商核验报告</t>
        </is>
      </c>
      <c r="D43" s="9" t="inlineStr">
        <is>
          <t>状态=已核验</t>
        </is>
      </c>
      <c r="E43" s="9">
        <f>IF(INDEX('01_手动输入'!$G:$G,MATCH("aluminium_verifier_status",'01_手动输入'!$B:$B,0))="已核验","证据齐备","待补证据")</f>
        <v/>
      </c>
    </row>
    <row r="44">
      <c r="A44" s="9" t="inlineStr">
        <is>
          <t>CBAM</t>
        </is>
      </c>
      <c r="B44" s="9" t="inlineStr">
        <is>
          <t>钢材供应商安装点 ID</t>
        </is>
      </c>
      <c r="C44" s="9" t="inlineStr">
        <is>
          <t>安装点主数据</t>
        </is>
      </c>
      <c r="D44" s="9" t="inlineStr">
        <is>
          <t>有安装点ID即可</t>
        </is>
      </c>
      <c r="E44" s="9">
        <f>IF(INDEX('01_手动输入'!$G:$G,MATCH("steel_supplier_installation_id",'01_手动输入'!$B:$B,0))&lt;&gt;"","证据齐备","待补证据")</f>
        <v/>
      </c>
    </row>
    <row r="45">
      <c r="A45" s="9" t="inlineStr">
        <is>
          <t>CBAM</t>
        </is>
      </c>
      <c r="B45" s="9" t="inlineStr">
        <is>
          <t>钢材质量(kg)</t>
        </is>
      </c>
      <c r="C45" s="9" t="inlineStr">
        <is>
          <t>BOM / 结构件清单</t>
        </is>
      </c>
      <c r="D45" s="9" t="inlineStr">
        <is>
          <t>钢材质量&gt;=0</t>
        </is>
      </c>
      <c r="E45" s="9">
        <f>IF(INDEX('01_手动输入'!$G:$G,MATCH("steel_mass_kg",'01_手动输入'!$B:$B,0))&gt;=0,"证据齐备","待补证据")</f>
        <v/>
      </c>
    </row>
    <row r="46" ht="27" customHeight="1" s="30">
      <c r="A46" s="9" t="inlineStr">
        <is>
          <t>CBAM</t>
        </is>
      </c>
      <c r="B46" s="9" t="inlineStr">
        <is>
          <t>钢材直接排放因子(kgCO2e/kg)</t>
        </is>
      </c>
      <c r="C46" s="9" t="inlineStr">
        <is>
          <t>供应商PCF / 安装点因子</t>
        </is>
      </c>
      <c r="D46" s="9" t="inlineStr">
        <is>
          <t>直接因子&gt;=0</t>
        </is>
      </c>
      <c r="E46" s="9">
        <f>IF(INDEX('01_手动输入'!$G:$G,MATCH("steel_direct_pcf",'01_手动输入'!$B:$B,0))&gt;=0,"证据齐备","待补证据")</f>
        <v/>
      </c>
    </row>
    <row r="47" ht="27" customHeight="1" s="30">
      <c r="A47" s="9" t="inlineStr">
        <is>
          <t>CBAM</t>
        </is>
      </c>
      <c r="B47" s="9" t="inlineStr">
        <is>
          <t>钢材间接排放因子(kgCO2e/kg)</t>
        </is>
      </c>
      <c r="C47" s="9" t="inlineStr">
        <is>
          <t>供应商PCF / 电力因子</t>
        </is>
      </c>
      <c r="D47" s="9" t="inlineStr">
        <is>
          <t>间接因子&gt;=0</t>
        </is>
      </c>
      <c r="E47" s="9">
        <f>IF(INDEX('01_手动输入'!$G:$G,MATCH("steel_indirect_pcf",'01_手动输入'!$B:$B,0))&gt;=0,"证据齐备","待补证据")</f>
        <v/>
      </c>
    </row>
    <row r="48" ht="27" customHeight="1" s="30">
      <c r="A48" s="9" t="inlineStr">
        <is>
          <t>CBAM</t>
        </is>
      </c>
      <c r="B48" s="9" t="inlineStr">
        <is>
          <t>钢材总嵌入排放(kgCO2e/申报单元)</t>
        </is>
      </c>
      <c r="C48" s="9" t="inlineStr">
        <is>
          <t>质量 x 因子计算链</t>
        </is>
      </c>
      <c r="D48" s="9" t="inlineStr">
        <is>
          <t>质量和因子齐备</t>
        </is>
      </c>
      <c r="E48" s="9">
        <f>IF(AND(INDEX('01_手动输入'!$G:$G,MATCH("steel_mass_kg",'01_手动输入'!$B:$B,0))&gt;=0,INDEX('01_手动输入'!$G:$G,MATCH("steel_direct_pcf",'01_手动输入'!$B:$B,0))&gt;=0,INDEX('01_手动输入'!$G:$G,MATCH("steel_indirect_pcf",'01_手动输入'!$B:$B,0))&gt;=0),"证据齐备","待补证据")</f>
        <v/>
      </c>
    </row>
    <row r="49">
      <c r="A49" s="9" t="inlineStr">
        <is>
          <t>CBAM</t>
        </is>
      </c>
      <c r="B49" s="9" t="inlineStr">
        <is>
          <t>钢材核验状态</t>
        </is>
      </c>
      <c r="C49" s="9" t="inlineStr">
        <is>
          <t>供应商核验报告</t>
        </is>
      </c>
      <c r="D49" s="9" t="inlineStr">
        <is>
          <t>状态=已核验</t>
        </is>
      </c>
      <c r="E49" s="9">
        <f>IF(INDEX('01_手动输入'!$G:$G,MATCH("steel_verifier_status",'01_手动输入'!$B:$B,0))="已核验","证据齐备","待补证据")</f>
        <v/>
      </c>
    </row>
    <row r="50" ht="27" customHeight="1" s="30">
      <c r="A50" s="9" t="inlineStr">
        <is>
          <t>CBAM</t>
        </is>
      </c>
      <c r="B50" s="9" t="inlineStr">
        <is>
          <t>覆盖材料总嵌入排放(kgCO2e/申报单元)</t>
        </is>
      </c>
      <c r="C50" s="9" t="inlineStr">
        <is>
          <t>铝钢材料计算链</t>
        </is>
      </c>
      <c r="D50" s="9" t="inlineStr">
        <is>
          <t>铝钢模块均齐备</t>
        </is>
      </c>
      <c r="E50" s="9">
        <f>IF(AND(INDEX('01_手动输入'!$G:$G,MATCH("aluminium_verifier_status",'01_手动输入'!$B:$B,0))="已核验",INDEX('01_手动输入'!$G:$G,MATCH("steel_verifier_status",'01_手动输入'!$B:$B,0))="已核验"),"证据齐备","部分齐备")</f>
        <v/>
      </c>
    </row>
    <row r="51">
      <c r="A51" s="9" t="inlineStr">
        <is>
          <t>CBAM</t>
        </is>
      </c>
      <c r="B51" s="9" t="inlineStr">
        <is>
          <t>覆盖材料占整包总排放比重</t>
        </is>
      </c>
      <c r="C51" s="9" t="inlineStr">
        <is>
          <t>CBAM 总量 / EU总碳足迹</t>
        </is>
      </c>
      <c r="D51" s="9" t="inlineStr">
        <is>
          <t>EU+CBAM 两边结果都存在</t>
        </is>
      </c>
      <c r="E51" s="9">
        <f>IF(AND('10_CBAM中间表'!D19&lt;&gt;"",'09_EU中间表'!D15&lt;&gt;""),"证据齐备","待补证据")</f>
        <v/>
      </c>
    </row>
    <row r="52">
      <c r="A52" s="9" t="inlineStr">
        <is>
          <t>CBAM</t>
        </is>
      </c>
      <c r="B52" s="9" t="inlineStr">
        <is>
          <t>供应商 PCF 覆盖率</t>
        </is>
      </c>
      <c r="C52" s="9" t="inlineStr">
        <is>
          <t>供应商PCF报告</t>
        </is>
      </c>
      <c r="D52" s="9" t="inlineStr">
        <is>
          <t>覆盖率&gt;=0.75</t>
        </is>
      </c>
      <c r="E52" s="9">
        <f>IF(INDEX('01_手动输入'!$G:$G,MATCH("supplier_pcf_coverage_pct",'01_手动输入'!$B:$B,0))&gt;=0.75,"证据齐备",IF(INDEX('01_手动输入'!$G:$G,MATCH("supplier_pcf_coverage_pct",'01_手动输入'!$B:$B,0))&gt;=0.5,"部分齐备","高风险"))</f>
        <v/>
      </c>
    </row>
    <row r="53">
      <c r="A53" s="9" t="inlineStr">
        <is>
          <t>CBAM</t>
        </is>
      </c>
      <c r="B53" s="9" t="inlineStr">
        <is>
          <t>CBAM 兼容输出完备度</t>
        </is>
      </c>
      <c r="C53" s="9" t="inlineStr">
        <is>
          <t>系统自动汇总</t>
        </is>
      </c>
      <c r="D53" s="9" t="inlineStr">
        <is>
          <t>完备度&gt;=0.9</t>
        </is>
      </c>
      <c r="E53" s="9">
        <f>IF('10_CBAM中间表'!D22&gt;=0.9,"证据齐备","待补证据")</f>
        <v/>
      </c>
    </row>
    <row r="54">
      <c r="A54" s="9" t="inlineStr">
        <is>
          <t>CBAM</t>
        </is>
      </c>
      <c r="B54" s="9" t="inlineStr">
        <is>
          <t>CBAM 兼容输出结论</t>
        </is>
      </c>
      <c r="C54" s="9" t="inlineStr">
        <is>
          <t>系统自动汇总 + 人工复核</t>
        </is>
      </c>
      <c r="D54" s="9" t="inlineStr">
        <is>
          <t>结论不为空</t>
        </is>
      </c>
      <c r="E54" s="9">
        <f>IF('10_CBAM中间表'!D23&lt;&gt;"","证据齐备","待补证据")</f>
        <v/>
      </c>
    </row>
  </sheetData>
  <autoFilter ref="A3:E54"/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0" customWidth="1" style="30" min="1" max="1"/>
    <col width="24" customWidth="1" style="30" min="2" max="2"/>
    <col width="20" customWidth="1" style="30" min="3" max="3"/>
    <col width="22" customWidth="1" style="30" min="4" max="4"/>
  </cols>
  <sheetData>
    <row r="1">
      <c r="A1" s="33" t="inlineStr">
        <is>
          <t>核验映射：谁来确认每一类数据</t>
        </is>
      </c>
      <c r="B1" s="22" t="n"/>
      <c r="C1" s="22" t="n"/>
      <c r="D1" s="23" t="n"/>
    </row>
    <row r="3">
      <c r="A3" s="8" t="inlineStr">
        <is>
          <t>目标制度</t>
        </is>
      </c>
      <c r="B3" s="8" t="inlineStr">
        <is>
          <t>目标字段</t>
        </is>
      </c>
      <c r="C3" s="8" t="inlineStr">
        <is>
          <t>字段类型</t>
        </is>
      </c>
      <c r="D3" s="8" t="inlineStr">
        <is>
          <t>核验层级</t>
        </is>
      </c>
    </row>
    <row r="4">
      <c r="A4" s="9" t="inlineStr">
        <is>
          <t>EU</t>
        </is>
      </c>
      <c r="B4" s="9" t="inlineStr">
        <is>
          <t>制造商名称</t>
        </is>
      </c>
      <c r="C4" s="9" t="inlineStr">
        <is>
          <t>主体识别</t>
        </is>
      </c>
      <c r="D4" s="9" t="inlineStr">
        <is>
          <t>内部确认</t>
        </is>
      </c>
    </row>
    <row r="5">
      <c r="A5" s="9" t="inlineStr">
        <is>
          <t>EU</t>
        </is>
      </c>
      <c r="B5" s="9" t="inlineStr">
        <is>
          <t>产品名称</t>
        </is>
      </c>
      <c r="C5" s="9" t="inlineStr">
        <is>
          <t>产品主数据</t>
        </is>
      </c>
      <c r="D5" s="9" t="inlineStr">
        <is>
          <t>内部确认</t>
        </is>
      </c>
    </row>
    <row r="6">
      <c r="A6" s="9" t="inlineStr">
        <is>
          <t>EU</t>
        </is>
      </c>
      <c r="B6" s="9" t="inlineStr">
        <is>
          <t>电池型号</t>
        </is>
      </c>
      <c r="C6" s="9" t="inlineStr">
        <is>
          <t>产品主数据</t>
        </is>
      </c>
      <c r="D6" s="9" t="inlineStr">
        <is>
          <t>内部确认</t>
        </is>
      </c>
    </row>
    <row r="7">
      <c r="A7" s="9" t="inlineStr">
        <is>
          <t>EU</t>
        </is>
      </c>
      <c r="B7" s="9" t="inlineStr">
        <is>
          <t>产品类别</t>
        </is>
      </c>
      <c r="C7" s="9" t="inlineStr">
        <is>
          <t>产品分类</t>
        </is>
      </c>
      <c r="D7" s="9" t="inlineStr">
        <is>
          <t>内部确认</t>
        </is>
      </c>
    </row>
    <row r="8">
      <c r="A8" s="9" t="inlineStr">
        <is>
          <t>EU</t>
        </is>
      </c>
      <c r="B8" s="9" t="inlineStr">
        <is>
          <t>化学体系</t>
        </is>
      </c>
      <c r="C8" s="9" t="inlineStr">
        <is>
          <t>技术主数据</t>
        </is>
      </c>
      <c r="D8" s="9" t="inlineStr">
        <is>
          <t>内部确认</t>
        </is>
      </c>
    </row>
    <row r="9">
      <c r="A9" s="9" t="inlineStr">
        <is>
          <t>EU</t>
        </is>
      </c>
      <c r="B9" s="9" t="inlineStr">
        <is>
          <t>制造工厂代码</t>
        </is>
      </c>
      <c r="C9" s="9" t="inlineStr">
        <is>
          <t>工厂主数据</t>
        </is>
      </c>
      <c r="D9" s="9" t="inlineStr">
        <is>
          <t>内部确认</t>
        </is>
      </c>
    </row>
    <row r="10">
      <c r="A10" s="9" t="inlineStr">
        <is>
          <t>EU</t>
        </is>
      </c>
      <c r="B10" s="9" t="inlineStr">
        <is>
          <t>制造工厂名称</t>
        </is>
      </c>
      <c r="C10" s="9" t="inlineStr">
        <is>
          <t>工厂主数据</t>
        </is>
      </c>
      <c r="D10" s="9" t="inlineStr">
        <is>
          <t>内部确认</t>
        </is>
      </c>
    </row>
    <row r="11">
      <c r="A11" s="9" t="inlineStr">
        <is>
          <t>EU</t>
        </is>
      </c>
      <c r="B11" s="9" t="inlineStr">
        <is>
          <t>报告期</t>
        </is>
      </c>
      <c r="C11" s="9" t="inlineStr">
        <is>
          <t>报告锚点</t>
        </is>
      </c>
      <c r="D11" s="9" t="inlineStr">
        <is>
          <t>内部确认</t>
        </is>
      </c>
    </row>
    <row r="12" ht="27" customHeight="1" s="30">
      <c r="A12" s="9" t="inlineStr">
        <is>
          <t>EU</t>
        </is>
      </c>
      <c r="B12" s="9" t="inlineStr">
        <is>
          <t>申报单元申报单元额定容量(kWh)</t>
        </is>
      </c>
      <c r="C12" s="9" t="inlineStr">
        <is>
          <t>性能参数</t>
        </is>
      </c>
      <c r="D12" s="9" t="inlineStr">
        <is>
          <t>测试+内部确认</t>
        </is>
      </c>
    </row>
    <row r="13">
      <c r="A13" s="9" t="inlineStr">
        <is>
          <t>EU</t>
        </is>
      </c>
      <c r="B13" s="9" t="inlineStr">
        <is>
          <t>标称电压(V)</t>
        </is>
      </c>
      <c r="C13" s="9" t="inlineStr">
        <is>
          <t>性能参数</t>
        </is>
      </c>
      <c r="D13" s="9" t="inlineStr">
        <is>
          <t>测试+内部确认</t>
        </is>
      </c>
    </row>
    <row r="14">
      <c r="A14" s="9" t="inlineStr">
        <is>
          <t>EU</t>
        </is>
      </c>
      <c r="B14" s="9" t="inlineStr">
        <is>
          <t>循环寿命(cycles)</t>
        </is>
      </c>
      <c r="C14" s="9" t="inlineStr">
        <is>
          <t>性能参数</t>
        </is>
      </c>
      <c r="D14" s="9" t="inlineStr">
        <is>
          <t>测试+内部确认</t>
        </is>
      </c>
    </row>
    <row r="15" ht="27" customHeight="1" s="30">
      <c r="A15" s="9" t="inlineStr">
        <is>
          <t>EU</t>
        </is>
      </c>
      <c r="B15" s="9" t="inlineStr">
        <is>
          <t>声明总碳足迹(kgCO2e/申报单元)</t>
        </is>
      </c>
      <c r="C15" s="9" t="inlineStr">
        <is>
          <t>碳足迹结果</t>
        </is>
      </c>
      <c r="D15" s="9" t="inlineStr">
        <is>
          <t>第三方/合规核验</t>
        </is>
      </c>
    </row>
    <row r="16" ht="27" customHeight="1" s="30">
      <c r="A16" s="9" t="inlineStr">
        <is>
          <t>EU</t>
        </is>
      </c>
      <c r="B16" s="9" t="inlineStr">
        <is>
          <t>声明总碳足迹(kgCO2e/kWh)</t>
        </is>
      </c>
      <c r="C16" s="9" t="inlineStr">
        <is>
          <t>碳足迹结果</t>
        </is>
      </c>
      <c r="D16" s="9" t="inlineStr">
        <is>
          <t>第三方/合规核验</t>
        </is>
      </c>
    </row>
    <row r="17">
      <c r="A17" s="9" t="inlineStr">
        <is>
          <t>EU</t>
        </is>
      </c>
      <c r="B17" s="9" t="inlineStr">
        <is>
          <t>原材料阶段(kgCO2e/kWh)</t>
        </is>
      </c>
      <c r="C17" s="9" t="inlineStr">
        <is>
          <t>阶段拆分结果</t>
        </is>
      </c>
      <c r="D17" s="9" t="inlineStr">
        <is>
          <t>第三方/合规核验</t>
        </is>
      </c>
    </row>
    <row r="18">
      <c r="A18" s="9" t="inlineStr">
        <is>
          <t>EU</t>
        </is>
      </c>
      <c r="B18" s="9" t="inlineStr">
        <is>
          <t>制造阶段(kgCO2e/kWh)</t>
        </is>
      </c>
      <c r="C18" s="9" t="inlineStr">
        <is>
          <t>阶段拆分结果</t>
        </is>
      </c>
      <c r="D18" s="9" t="inlineStr">
        <is>
          <t>第三方/合规核验</t>
        </is>
      </c>
    </row>
    <row r="19">
      <c r="A19" s="9" t="inlineStr">
        <is>
          <t>EU</t>
        </is>
      </c>
      <c r="B19" s="9" t="inlineStr">
        <is>
          <t>运输阶段(kgCO2e/kWh)</t>
        </is>
      </c>
      <c r="C19" s="9" t="inlineStr">
        <is>
          <t>阶段拆分结果</t>
        </is>
      </c>
      <c r="D19" s="9" t="inlineStr">
        <is>
          <t>第三方/合规核验</t>
        </is>
      </c>
    </row>
    <row r="20" ht="27" customHeight="1" s="30">
      <c r="A20" s="9" t="inlineStr">
        <is>
          <t>EU</t>
        </is>
      </c>
      <c r="B20" s="9" t="inlineStr">
        <is>
          <t>终端回收阶段(kgCO2e/kWh)</t>
        </is>
      </c>
      <c r="C20" s="9" t="inlineStr">
        <is>
          <t>阶段拆分结果</t>
        </is>
      </c>
      <c r="D20" s="9" t="inlineStr">
        <is>
          <t>第三方/合规核验</t>
        </is>
      </c>
    </row>
    <row r="21">
      <c r="A21" s="9" t="inlineStr">
        <is>
          <t>EU</t>
        </is>
      </c>
      <c r="B21" s="9" t="inlineStr">
        <is>
          <t>再生锂占比</t>
        </is>
      </c>
      <c r="C21" s="9" t="inlineStr">
        <is>
          <t>再生材料声明</t>
        </is>
      </c>
      <c r="D21" s="9" t="inlineStr">
        <is>
          <t>第三方/合规核验</t>
        </is>
      </c>
    </row>
    <row r="22">
      <c r="A22" s="9" t="inlineStr">
        <is>
          <t>EU</t>
        </is>
      </c>
      <c r="B22" s="9" t="inlineStr">
        <is>
          <t>再生钴占比</t>
        </is>
      </c>
      <c r="C22" s="9" t="inlineStr">
        <is>
          <t>再生材料声明</t>
        </is>
      </c>
      <c r="D22" s="9" t="inlineStr">
        <is>
          <t>第三方/合规核验</t>
        </is>
      </c>
    </row>
    <row r="23">
      <c r="A23" s="9" t="inlineStr">
        <is>
          <t>EU</t>
        </is>
      </c>
      <c r="B23" s="9" t="inlineStr">
        <is>
          <t>再生镍占比</t>
        </is>
      </c>
      <c r="C23" s="9" t="inlineStr">
        <is>
          <t>再生材料声明</t>
        </is>
      </c>
      <c r="D23" s="9" t="inlineStr">
        <is>
          <t>第三方/合规核验</t>
        </is>
      </c>
    </row>
    <row r="24">
      <c r="A24" s="9" t="inlineStr">
        <is>
          <t>EU</t>
        </is>
      </c>
      <c r="B24" s="9" t="inlineStr">
        <is>
          <t>再生铅占比</t>
        </is>
      </c>
      <c r="C24" s="9" t="inlineStr">
        <is>
          <t>再生材料声明</t>
        </is>
      </c>
      <c r="D24" s="9" t="inlineStr">
        <is>
          <t>第三方/合规核验</t>
        </is>
      </c>
    </row>
    <row r="25">
      <c r="A25" s="9" t="inlineStr">
        <is>
          <t>EU</t>
        </is>
      </c>
      <c r="B25" s="9" t="inlineStr">
        <is>
          <t>尽调政策链接</t>
        </is>
      </c>
      <c r="C25" s="9" t="inlineStr">
        <is>
          <t>政策公开字段</t>
        </is>
      </c>
      <c r="D25" s="9" t="inlineStr">
        <is>
          <t>法务/内部确认</t>
        </is>
      </c>
    </row>
    <row r="26">
      <c r="A26" s="9" t="inlineStr">
        <is>
          <t>EU</t>
        </is>
      </c>
      <c r="B26" s="9" t="inlineStr">
        <is>
          <t>关键原材料追溯范围</t>
        </is>
      </c>
      <c r="C26" s="9" t="inlineStr">
        <is>
          <t>追溯范围声明</t>
        </is>
      </c>
      <c r="D26" s="9" t="inlineStr">
        <is>
          <t>内部确认</t>
        </is>
      </c>
    </row>
    <row r="27">
      <c r="A27" s="9" t="inlineStr">
        <is>
          <t>EU</t>
        </is>
      </c>
      <c r="B27" s="9" t="inlineStr">
        <is>
          <t>供应链追溯覆盖率</t>
        </is>
      </c>
      <c r="C27" s="9" t="inlineStr">
        <is>
          <t>覆盖率指标</t>
        </is>
      </c>
      <c r="D27" s="9" t="inlineStr">
        <is>
          <t>内部确认 + 抽样复核</t>
        </is>
      </c>
    </row>
    <row r="28">
      <c r="A28" s="9" t="inlineStr">
        <is>
          <t>EU</t>
        </is>
      </c>
      <c r="B28" s="9" t="inlineStr">
        <is>
          <t>产品碳足迹研究底稿状态</t>
        </is>
      </c>
      <c r="C28" s="9" t="inlineStr">
        <is>
          <t>合规准备状态</t>
        </is>
      </c>
      <c r="D28" s="9" t="inlineStr">
        <is>
          <t>内部确认</t>
        </is>
      </c>
    </row>
    <row r="29">
      <c r="A29" s="9" t="inlineStr">
        <is>
          <t>EU</t>
        </is>
      </c>
      <c r="B29" s="9" t="inlineStr">
        <is>
          <t>测试报告状态</t>
        </is>
      </c>
      <c r="C29" s="9" t="inlineStr">
        <is>
          <t>合规准备状态</t>
        </is>
      </c>
      <c r="D29" s="9" t="inlineStr">
        <is>
          <t>内部确认</t>
        </is>
      </c>
    </row>
    <row r="30">
      <c r="A30" s="9" t="inlineStr">
        <is>
          <t>EU</t>
        </is>
      </c>
      <c r="B30" s="9" t="inlineStr">
        <is>
          <t>技术文档状态</t>
        </is>
      </c>
      <c r="C30" s="9" t="inlineStr">
        <is>
          <t>合规准备状态</t>
        </is>
      </c>
      <c r="D30" s="9" t="inlineStr">
        <is>
          <t>内部确认</t>
        </is>
      </c>
    </row>
    <row r="31">
      <c r="A31" s="9" t="inlineStr">
        <is>
          <t>EU</t>
        </is>
      </c>
      <c r="B31" s="9" t="inlineStr">
        <is>
          <t>护照对象 ID</t>
        </is>
      </c>
      <c r="C31" s="9" t="inlineStr">
        <is>
          <t>系统对象主键</t>
        </is>
      </c>
      <c r="D31" s="9" t="inlineStr">
        <is>
          <t>内部确认</t>
        </is>
      </c>
    </row>
    <row r="32">
      <c r="A32" s="9" t="inlineStr">
        <is>
          <t>EU</t>
        </is>
      </c>
      <c r="B32" s="9" t="inlineStr">
        <is>
          <t>个体电池编码前缀</t>
        </is>
      </c>
      <c r="C32" s="9" t="inlineStr">
        <is>
          <t>序列化规则</t>
        </is>
      </c>
      <c r="D32" s="9" t="inlineStr">
        <is>
          <t>内部确认</t>
        </is>
      </c>
    </row>
    <row r="33" ht="27" customHeight="1" s="30">
      <c r="A33" s="9" t="inlineStr">
        <is>
          <t>EU</t>
        </is>
      </c>
      <c r="B33" s="9" t="inlineStr">
        <is>
          <t>EU 输出完备度</t>
        </is>
      </c>
      <c r="C33" s="9" t="inlineStr">
        <is>
          <t>系统汇总指标</t>
        </is>
      </c>
      <c r="D33" s="9" t="inlineStr">
        <is>
          <t>系统自动判定 + PMO复核</t>
        </is>
      </c>
    </row>
    <row r="34" ht="27" customHeight="1" s="30">
      <c r="A34" s="9" t="inlineStr">
        <is>
          <t>EU</t>
        </is>
      </c>
      <c r="B34" s="9" t="inlineStr">
        <is>
          <t>EU 输出结论</t>
        </is>
      </c>
      <c r="C34" s="9" t="inlineStr">
        <is>
          <t>系统结论</t>
        </is>
      </c>
      <c r="D34" s="9" t="inlineStr">
        <is>
          <t>系统自动判定 + 管理层复核</t>
        </is>
      </c>
    </row>
    <row r="35">
      <c r="A35" s="9" t="inlineStr">
        <is>
          <t>CBAM</t>
        </is>
      </c>
      <c r="B35" s="9" t="inlineStr">
        <is>
          <t>电池型号</t>
        </is>
      </c>
      <c r="C35" s="9" t="inlineStr">
        <is>
          <t>产品主数据</t>
        </is>
      </c>
      <c r="D35" s="9" t="inlineStr">
        <is>
          <t>内部确认</t>
        </is>
      </c>
    </row>
    <row r="36">
      <c r="A36" s="9" t="inlineStr">
        <is>
          <t>CBAM</t>
        </is>
      </c>
      <c r="B36" s="9" t="inlineStr">
        <is>
          <t>产品报告期</t>
        </is>
      </c>
      <c r="C36" s="9" t="inlineStr">
        <is>
          <t>报告锚点</t>
        </is>
      </c>
      <c r="D36" s="9" t="inlineStr">
        <is>
          <t>内部确认</t>
        </is>
      </c>
    </row>
    <row r="37">
      <c r="A37" s="9" t="inlineStr">
        <is>
          <t>CBAM</t>
        </is>
      </c>
      <c r="B37" s="9" t="inlineStr">
        <is>
          <t>上游材料报告期</t>
        </is>
      </c>
      <c r="C37" s="9" t="inlineStr">
        <is>
          <t>上游报告期锚点</t>
        </is>
      </c>
      <c r="D37" s="9" t="inlineStr">
        <is>
          <t>内部确认</t>
        </is>
      </c>
    </row>
    <row r="38">
      <c r="A38" s="9" t="inlineStr">
        <is>
          <t>CBAM</t>
        </is>
      </c>
      <c r="B38" s="9" t="inlineStr">
        <is>
          <t>铝材供应商安装点 ID</t>
        </is>
      </c>
      <c r="C38" s="9" t="inlineStr">
        <is>
          <t>安装点主数据</t>
        </is>
      </c>
      <c r="D38" s="9" t="inlineStr">
        <is>
          <t>供应商确认 + 内部复核</t>
        </is>
      </c>
    </row>
    <row r="39">
      <c r="A39" s="9" t="inlineStr">
        <is>
          <t>CBAM</t>
        </is>
      </c>
      <c r="B39" s="9" t="inlineStr">
        <is>
          <t>铝材质量(kg)</t>
        </is>
      </c>
      <c r="C39" s="9" t="inlineStr">
        <is>
          <t>材料主数据</t>
        </is>
      </c>
      <c r="D39" s="9" t="inlineStr">
        <is>
          <t>内部确认</t>
        </is>
      </c>
    </row>
    <row r="40" ht="27" customHeight="1" s="30">
      <c r="A40" s="9" t="inlineStr">
        <is>
          <t>CBAM</t>
        </is>
      </c>
      <c r="B40" s="9" t="inlineStr">
        <is>
          <t>铝材直接排放因子(kgCO2e/kg)</t>
        </is>
      </c>
      <c r="C40" s="9" t="inlineStr">
        <is>
          <t>上游排放因子</t>
        </is>
      </c>
      <c r="D40" s="9" t="inlineStr">
        <is>
          <t>供应商核验 + 合规复核</t>
        </is>
      </c>
    </row>
    <row r="41" ht="27" customHeight="1" s="30">
      <c r="A41" s="9" t="inlineStr">
        <is>
          <t>CBAM</t>
        </is>
      </c>
      <c r="B41" s="9" t="inlineStr">
        <is>
          <t>铝材间接排放因子(kgCO2e/kg)</t>
        </is>
      </c>
      <c r="C41" s="9" t="inlineStr">
        <is>
          <t>上游排放因子</t>
        </is>
      </c>
      <c r="D41" s="9" t="inlineStr">
        <is>
          <t>供应商核验 + 合规复核</t>
        </is>
      </c>
    </row>
    <row r="42" ht="27" customHeight="1" s="30">
      <c r="A42" s="9" t="inlineStr">
        <is>
          <t>CBAM</t>
        </is>
      </c>
      <c r="B42" s="9" t="inlineStr">
        <is>
          <t>铝材总嵌入排放(kgCO2e/申报单元)</t>
        </is>
      </c>
      <c r="C42" s="9" t="inlineStr">
        <is>
          <t>CBAM 影子计算结果</t>
        </is>
      </c>
      <c r="D42" s="9" t="inlineStr">
        <is>
          <t>供应商核验 + 合规复核</t>
        </is>
      </c>
    </row>
    <row r="43">
      <c r="A43" s="9" t="inlineStr">
        <is>
          <t>CBAM</t>
        </is>
      </c>
      <c r="B43" s="9" t="inlineStr">
        <is>
          <t>铝材核验状态</t>
        </is>
      </c>
      <c r="C43" s="9" t="inlineStr">
        <is>
          <t>核验状态</t>
        </is>
      </c>
      <c r="D43" s="9" t="inlineStr">
        <is>
          <t>供应商核验 + 内部确认</t>
        </is>
      </c>
    </row>
    <row r="44">
      <c r="A44" s="9" t="inlineStr">
        <is>
          <t>CBAM</t>
        </is>
      </c>
      <c r="B44" s="9" t="inlineStr">
        <is>
          <t>钢材供应商安装点 ID</t>
        </is>
      </c>
      <c r="C44" s="9" t="inlineStr">
        <is>
          <t>安装点主数据</t>
        </is>
      </c>
      <c r="D44" s="9" t="inlineStr">
        <is>
          <t>供应商确认 + 内部复核</t>
        </is>
      </c>
    </row>
    <row r="45">
      <c r="A45" s="9" t="inlineStr">
        <is>
          <t>CBAM</t>
        </is>
      </c>
      <c r="B45" s="9" t="inlineStr">
        <is>
          <t>钢材质量(kg)</t>
        </is>
      </c>
      <c r="C45" s="9" t="inlineStr">
        <is>
          <t>材料主数据</t>
        </is>
      </c>
      <c r="D45" s="9" t="inlineStr">
        <is>
          <t>内部确认</t>
        </is>
      </c>
    </row>
    <row r="46" ht="27" customHeight="1" s="30">
      <c r="A46" s="9" t="inlineStr">
        <is>
          <t>CBAM</t>
        </is>
      </c>
      <c r="B46" s="9" t="inlineStr">
        <is>
          <t>钢材直接排放因子(kgCO2e/kg)</t>
        </is>
      </c>
      <c r="C46" s="9" t="inlineStr">
        <is>
          <t>上游排放因子</t>
        </is>
      </c>
      <c r="D46" s="9" t="inlineStr">
        <is>
          <t>供应商核验 + 合规复核</t>
        </is>
      </c>
    </row>
    <row r="47" ht="27" customHeight="1" s="30">
      <c r="A47" s="9" t="inlineStr">
        <is>
          <t>CBAM</t>
        </is>
      </c>
      <c r="B47" s="9" t="inlineStr">
        <is>
          <t>钢材间接排放因子(kgCO2e/kg)</t>
        </is>
      </c>
      <c r="C47" s="9" t="inlineStr">
        <is>
          <t>上游排放因子</t>
        </is>
      </c>
      <c r="D47" s="9" t="inlineStr">
        <is>
          <t>供应商核验 + 合规复核</t>
        </is>
      </c>
    </row>
    <row r="48" ht="27" customHeight="1" s="30">
      <c r="A48" s="9" t="inlineStr">
        <is>
          <t>CBAM</t>
        </is>
      </c>
      <c r="B48" s="9" t="inlineStr">
        <is>
          <t>钢材总嵌入排放(kgCO2e/申报单元)</t>
        </is>
      </c>
      <c r="C48" s="9" t="inlineStr">
        <is>
          <t>CBAM 影子计算结果</t>
        </is>
      </c>
      <c r="D48" s="9" t="inlineStr">
        <is>
          <t>供应商核验 + 合规复核</t>
        </is>
      </c>
    </row>
    <row r="49">
      <c r="A49" s="9" t="inlineStr">
        <is>
          <t>CBAM</t>
        </is>
      </c>
      <c r="B49" s="9" t="inlineStr">
        <is>
          <t>钢材核验状态</t>
        </is>
      </c>
      <c r="C49" s="9" t="inlineStr">
        <is>
          <t>核验状态</t>
        </is>
      </c>
      <c r="D49" s="9" t="inlineStr">
        <is>
          <t>供应商核验 + 内部确认</t>
        </is>
      </c>
    </row>
    <row r="50" ht="27" customHeight="1" s="30">
      <c r="A50" s="9" t="inlineStr">
        <is>
          <t>CBAM</t>
        </is>
      </c>
      <c r="B50" s="9" t="inlineStr">
        <is>
          <t>覆盖材料总嵌入排放(kgCO2e/申报单元)</t>
        </is>
      </c>
      <c r="C50" s="9" t="inlineStr">
        <is>
          <t>影子汇总结果</t>
        </is>
      </c>
      <c r="D50" s="9" t="inlineStr">
        <is>
          <t>合规复核</t>
        </is>
      </c>
    </row>
    <row r="51">
      <c r="A51" s="9" t="inlineStr">
        <is>
          <t>CBAM</t>
        </is>
      </c>
      <c r="B51" s="9" t="inlineStr">
        <is>
          <t>覆盖材料占整包总排放比重</t>
        </is>
      </c>
      <c r="C51" s="9" t="inlineStr">
        <is>
          <t>兼容分析指标</t>
        </is>
      </c>
      <c r="D51" s="9" t="inlineStr">
        <is>
          <t>合规复核</t>
        </is>
      </c>
    </row>
    <row r="52">
      <c r="A52" s="9" t="inlineStr">
        <is>
          <t>CBAM</t>
        </is>
      </c>
      <c r="B52" s="9" t="inlineStr">
        <is>
          <t>供应商 PCF 覆盖率</t>
        </is>
      </c>
      <c r="C52" s="9" t="inlineStr">
        <is>
          <t>覆盖率指标</t>
        </is>
      </c>
      <c r="D52" s="9" t="inlineStr">
        <is>
          <t>内部确认 + 抽样复核</t>
        </is>
      </c>
    </row>
    <row r="53" ht="27" customHeight="1" s="30">
      <c r="A53" s="9" t="inlineStr">
        <is>
          <t>CBAM</t>
        </is>
      </c>
      <c r="B53" s="9" t="inlineStr">
        <is>
          <t>CBAM 兼容输出完备度</t>
        </is>
      </c>
      <c r="C53" s="9" t="inlineStr">
        <is>
          <t>系统汇总指标</t>
        </is>
      </c>
      <c r="D53" s="9" t="inlineStr">
        <is>
          <t>系统自动判定 + PMO复核</t>
        </is>
      </c>
    </row>
    <row r="54" ht="27" customHeight="1" s="30">
      <c r="A54" s="9" t="inlineStr">
        <is>
          <t>CBAM</t>
        </is>
      </c>
      <c r="B54" s="9" t="inlineStr">
        <is>
          <t>CBAM 兼容输出结论</t>
        </is>
      </c>
      <c r="C54" s="9" t="inlineStr">
        <is>
          <t>系统结论</t>
        </is>
      </c>
      <c r="D54" s="9" t="inlineStr">
        <is>
          <t>系统自动判定 + 管理层复核</t>
        </is>
      </c>
    </row>
  </sheetData>
  <autoFilter ref="A3:D54"/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0" customWidth="1" style="30" min="1" max="1"/>
    <col width="24" customWidth="1" style="30" min="2" max="2"/>
    <col width="18" customWidth="1" style="30" min="3" max="3"/>
    <col width="12" customWidth="1" style="30" min="4" max="4"/>
  </cols>
  <sheetData>
    <row r="1">
      <c r="A1" s="33" t="inlineStr">
        <is>
          <t>权限映射：谁能看哪些数据</t>
        </is>
      </c>
      <c r="B1" s="22" t="n"/>
      <c r="C1" s="22" t="n"/>
      <c r="D1" s="23" t="n"/>
    </row>
    <row r="3">
      <c r="A3" s="8" t="inlineStr">
        <is>
          <t>目标制度</t>
        </is>
      </c>
      <c r="B3" s="8" t="inlineStr">
        <is>
          <t>目标字段</t>
        </is>
      </c>
      <c r="C3" s="8" t="inlineStr">
        <is>
          <t>字段类型</t>
        </is>
      </c>
      <c r="D3" s="8" t="inlineStr">
        <is>
          <t>访问层级</t>
        </is>
      </c>
    </row>
    <row r="4">
      <c r="A4" s="9" t="inlineStr">
        <is>
          <t>EU</t>
        </is>
      </c>
      <c r="B4" s="9" t="inlineStr">
        <is>
          <t>制造商名称</t>
        </is>
      </c>
      <c r="C4" s="9" t="inlineStr">
        <is>
          <t>公开识别字段</t>
        </is>
      </c>
      <c r="D4" s="9" t="inlineStr">
        <is>
          <t>公开</t>
        </is>
      </c>
    </row>
    <row r="5">
      <c r="A5" s="9" t="inlineStr">
        <is>
          <t>EU</t>
        </is>
      </c>
      <c r="B5" s="9" t="inlineStr">
        <is>
          <t>产品名称</t>
        </is>
      </c>
      <c r="C5" s="9" t="inlineStr">
        <is>
          <t>公开展示字段</t>
        </is>
      </c>
      <c r="D5" s="9" t="inlineStr">
        <is>
          <t>公开</t>
        </is>
      </c>
    </row>
    <row r="6">
      <c r="A6" s="9" t="inlineStr">
        <is>
          <t>EU</t>
        </is>
      </c>
      <c r="B6" s="9" t="inlineStr">
        <is>
          <t>电池型号</t>
        </is>
      </c>
      <c r="C6" s="9" t="inlineStr">
        <is>
          <t>产品锚点</t>
        </is>
      </c>
      <c r="D6" s="9" t="inlineStr">
        <is>
          <t>受限</t>
        </is>
      </c>
    </row>
    <row r="7">
      <c r="A7" s="9" t="inlineStr">
        <is>
          <t>EU</t>
        </is>
      </c>
      <c r="B7" s="9" t="inlineStr">
        <is>
          <t>产品类别</t>
        </is>
      </c>
      <c r="C7" s="9" t="inlineStr">
        <is>
          <t>公开产品字段</t>
        </is>
      </c>
      <c r="D7" s="9" t="inlineStr">
        <is>
          <t>公开</t>
        </is>
      </c>
    </row>
    <row r="8">
      <c r="A8" s="9" t="inlineStr">
        <is>
          <t>EU</t>
        </is>
      </c>
      <c r="B8" s="9" t="inlineStr">
        <is>
          <t>化学体系</t>
        </is>
      </c>
      <c r="C8" s="9" t="inlineStr">
        <is>
          <t>公开产品字段</t>
        </is>
      </c>
      <c r="D8" s="9" t="inlineStr">
        <is>
          <t>公开</t>
        </is>
      </c>
    </row>
    <row r="9">
      <c r="A9" s="9" t="inlineStr">
        <is>
          <t>EU</t>
        </is>
      </c>
      <c r="B9" s="9" t="inlineStr">
        <is>
          <t>制造工厂代码</t>
        </is>
      </c>
      <c r="C9" s="9" t="inlineStr">
        <is>
          <t>工厂锚点</t>
        </is>
      </c>
      <c r="D9" s="9" t="inlineStr">
        <is>
          <t>受限</t>
        </is>
      </c>
    </row>
    <row r="10">
      <c r="A10" s="9" t="inlineStr">
        <is>
          <t>EU</t>
        </is>
      </c>
      <c r="B10" s="9" t="inlineStr">
        <is>
          <t>制造工厂名称</t>
        </is>
      </c>
      <c r="C10" s="9" t="inlineStr">
        <is>
          <t>工厂识别字段</t>
        </is>
      </c>
      <c r="D10" s="9" t="inlineStr">
        <is>
          <t>受限</t>
        </is>
      </c>
    </row>
    <row r="11">
      <c r="A11" s="9" t="inlineStr">
        <is>
          <t>EU</t>
        </is>
      </c>
      <c r="B11" s="9" t="inlineStr">
        <is>
          <t>报告期</t>
        </is>
      </c>
      <c r="C11" s="9" t="inlineStr">
        <is>
          <t>时间锚点</t>
        </is>
      </c>
      <c r="D11" s="9" t="inlineStr">
        <is>
          <t>受限</t>
        </is>
      </c>
    </row>
    <row r="12" ht="27" customHeight="1" s="30">
      <c r="A12" s="9" t="inlineStr">
        <is>
          <t>EU</t>
        </is>
      </c>
      <c r="B12" s="9" t="inlineStr">
        <is>
          <t>申报单元申报单元额定容量(kWh)</t>
        </is>
      </c>
      <c r="C12" s="9" t="inlineStr">
        <is>
          <t>公开性能参数</t>
        </is>
      </c>
      <c r="D12" s="9" t="inlineStr">
        <is>
          <t>公开</t>
        </is>
      </c>
    </row>
    <row r="13">
      <c r="A13" s="9" t="inlineStr">
        <is>
          <t>EU</t>
        </is>
      </c>
      <c r="B13" s="9" t="inlineStr">
        <is>
          <t>标称电压(V)</t>
        </is>
      </c>
      <c r="C13" s="9" t="inlineStr">
        <is>
          <t>公开性能参数</t>
        </is>
      </c>
      <c r="D13" s="9" t="inlineStr">
        <is>
          <t>公开</t>
        </is>
      </c>
    </row>
    <row r="14">
      <c r="A14" s="9" t="inlineStr">
        <is>
          <t>EU</t>
        </is>
      </c>
      <c r="B14" s="9" t="inlineStr">
        <is>
          <t>循环寿命(cycles)</t>
        </is>
      </c>
      <c r="C14" s="9" t="inlineStr">
        <is>
          <t>公开性能参数</t>
        </is>
      </c>
      <c r="D14" s="9" t="inlineStr">
        <is>
          <t>公开</t>
        </is>
      </c>
    </row>
    <row r="15" ht="27" customHeight="1" s="30">
      <c r="A15" s="9" t="inlineStr">
        <is>
          <t>EU</t>
        </is>
      </c>
      <c r="B15" s="9" t="inlineStr">
        <is>
          <t>声明总碳足迹(kgCO2e/申报单元)</t>
        </is>
      </c>
      <c r="C15" s="9" t="inlineStr">
        <is>
          <t>公开合规结果</t>
        </is>
      </c>
      <c r="D15" s="9" t="inlineStr">
        <is>
          <t>公开</t>
        </is>
      </c>
    </row>
    <row r="16" ht="27" customHeight="1" s="30">
      <c r="A16" s="9" t="inlineStr">
        <is>
          <t>EU</t>
        </is>
      </c>
      <c r="B16" s="9" t="inlineStr">
        <is>
          <t>声明总碳足迹(kgCO2e/kWh)</t>
        </is>
      </c>
      <c r="C16" s="9" t="inlineStr">
        <is>
          <t>公开合规结果</t>
        </is>
      </c>
      <c r="D16" s="9" t="inlineStr">
        <is>
          <t>公开</t>
        </is>
      </c>
    </row>
    <row r="17">
      <c r="A17" s="9" t="inlineStr">
        <is>
          <t>EU</t>
        </is>
      </c>
      <c r="B17" s="9" t="inlineStr">
        <is>
          <t>原材料阶段(kgCO2e/kWh)</t>
        </is>
      </c>
      <c r="C17" s="9" t="inlineStr">
        <is>
          <t>阶段拆分结果</t>
        </is>
      </c>
      <c r="D17" s="9" t="inlineStr">
        <is>
          <t>受限</t>
        </is>
      </c>
    </row>
    <row r="18">
      <c r="A18" s="9" t="inlineStr">
        <is>
          <t>EU</t>
        </is>
      </c>
      <c r="B18" s="9" t="inlineStr">
        <is>
          <t>制造阶段(kgCO2e/kWh)</t>
        </is>
      </c>
      <c r="C18" s="9" t="inlineStr">
        <is>
          <t>阶段拆分结果</t>
        </is>
      </c>
      <c r="D18" s="9" t="inlineStr">
        <is>
          <t>受限</t>
        </is>
      </c>
    </row>
    <row r="19">
      <c r="A19" s="9" t="inlineStr">
        <is>
          <t>EU</t>
        </is>
      </c>
      <c r="B19" s="9" t="inlineStr">
        <is>
          <t>运输阶段(kgCO2e/kWh)</t>
        </is>
      </c>
      <c r="C19" s="9" t="inlineStr">
        <is>
          <t>阶段拆分结果</t>
        </is>
      </c>
      <c r="D19" s="9" t="inlineStr">
        <is>
          <t>受限</t>
        </is>
      </c>
    </row>
    <row r="20" ht="27" customHeight="1" s="30">
      <c r="A20" s="9" t="inlineStr">
        <is>
          <t>EU</t>
        </is>
      </c>
      <c r="B20" s="9" t="inlineStr">
        <is>
          <t>终端回收阶段(kgCO2e/kWh)</t>
        </is>
      </c>
      <c r="C20" s="9" t="inlineStr">
        <is>
          <t>阶段拆分结果</t>
        </is>
      </c>
      <c r="D20" s="9" t="inlineStr">
        <is>
          <t>受限</t>
        </is>
      </c>
    </row>
    <row r="21">
      <c r="A21" s="9" t="inlineStr">
        <is>
          <t>EU</t>
        </is>
      </c>
      <c r="B21" s="9" t="inlineStr">
        <is>
          <t>再生锂占比</t>
        </is>
      </c>
      <c r="C21" s="9" t="inlineStr">
        <is>
          <t>公开合规结果</t>
        </is>
      </c>
      <c r="D21" s="9" t="inlineStr">
        <is>
          <t>公开</t>
        </is>
      </c>
    </row>
    <row r="22">
      <c r="A22" s="9" t="inlineStr">
        <is>
          <t>EU</t>
        </is>
      </c>
      <c r="B22" s="9" t="inlineStr">
        <is>
          <t>再生钴占比</t>
        </is>
      </c>
      <c r="C22" s="9" t="inlineStr">
        <is>
          <t>公开合规结果</t>
        </is>
      </c>
      <c r="D22" s="9" t="inlineStr">
        <is>
          <t>公开</t>
        </is>
      </c>
    </row>
    <row r="23">
      <c r="A23" s="9" t="inlineStr">
        <is>
          <t>EU</t>
        </is>
      </c>
      <c r="B23" s="9" t="inlineStr">
        <is>
          <t>再生镍占比</t>
        </is>
      </c>
      <c r="C23" s="9" t="inlineStr">
        <is>
          <t>公开合规结果</t>
        </is>
      </c>
      <c r="D23" s="9" t="inlineStr">
        <is>
          <t>公开</t>
        </is>
      </c>
    </row>
    <row r="24">
      <c r="A24" s="9" t="inlineStr">
        <is>
          <t>EU</t>
        </is>
      </c>
      <c r="B24" s="9" t="inlineStr">
        <is>
          <t>再生铅占比</t>
        </is>
      </c>
      <c r="C24" s="9" t="inlineStr">
        <is>
          <t>公开合规结果</t>
        </is>
      </c>
      <c r="D24" s="9" t="inlineStr">
        <is>
          <t>公开</t>
        </is>
      </c>
    </row>
    <row r="25">
      <c r="A25" s="9" t="inlineStr">
        <is>
          <t>EU</t>
        </is>
      </c>
      <c r="B25" s="9" t="inlineStr">
        <is>
          <t>尽调政策链接</t>
        </is>
      </c>
      <c r="C25" s="9" t="inlineStr">
        <is>
          <t>公开政策字段</t>
        </is>
      </c>
      <c r="D25" s="9" t="inlineStr">
        <is>
          <t>公开</t>
        </is>
      </c>
    </row>
    <row r="26">
      <c r="A26" s="9" t="inlineStr">
        <is>
          <t>EU</t>
        </is>
      </c>
      <c r="B26" s="9" t="inlineStr">
        <is>
          <t>关键原材料追溯范围</t>
        </is>
      </c>
      <c r="C26" s="9" t="inlineStr">
        <is>
          <t>公开摘要字段</t>
        </is>
      </c>
      <c r="D26" s="9" t="inlineStr">
        <is>
          <t>公开</t>
        </is>
      </c>
    </row>
    <row r="27">
      <c r="A27" s="9" t="inlineStr">
        <is>
          <t>EU</t>
        </is>
      </c>
      <c r="B27" s="9" t="inlineStr">
        <is>
          <t>供应链追溯覆盖率</t>
        </is>
      </c>
      <c r="C27" s="9" t="inlineStr">
        <is>
          <t>内部管理指标</t>
        </is>
      </c>
      <c r="D27" s="9" t="inlineStr">
        <is>
          <t>受限</t>
        </is>
      </c>
    </row>
    <row r="28">
      <c r="A28" s="9" t="inlineStr">
        <is>
          <t>EU</t>
        </is>
      </c>
      <c r="B28" s="9" t="inlineStr">
        <is>
          <t>产品碳足迹研究底稿状态</t>
        </is>
      </c>
      <c r="C28" s="9" t="inlineStr">
        <is>
          <t>内部状态字段</t>
        </is>
      </c>
      <c r="D28" s="9" t="inlineStr">
        <is>
          <t>内部</t>
        </is>
      </c>
    </row>
    <row r="29">
      <c r="A29" s="9" t="inlineStr">
        <is>
          <t>EU</t>
        </is>
      </c>
      <c r="B29" s="9" t="inlineStr">
        <is>
          <t>测试报告状态</t>
        </is>
      </c>
      <c r="C29" s="9" t="inlineStr">
        <is>
          <t>内部状态字段</t>
        </is>
      </c>
      <c r="D29" s="9" t="inlineStr">
        <is>
          <t>内部</t>
        </is>
      </c>
    </row>
    <row r="30">
      <c r="A30" s="9" t="inlineStr">
        <is>
          <t>EU</t>
        </is>
      </c>
      <c r="B30" s="9" t="inlineStr">
        <is>
          <t>技术文档状态</t>
        </is>
      </c>
      <c r="C30" s="9" t="inlineStr">
        <is>
          <t>内部状态字段</t>
        </is>
      </c>
      <c r="D30" s="9" t="inlineStr">
        <is>
          <t>内部</t>
        </is>
      </c>
    </row>
    <row r="31">
      <c r="A31" s="9" t="inlineStr">
        <is>
          <t>EU</t>
        </is>
      </c>
      <c r="B31" s="9" t="inlineStr">
        <is>
          <t>护照对象 ID</t>
        </is>
      </c>
      <c r="C31" s="9" t="inlineStr">
        <is>
          <t>系统主键</t>
        </is>
      </c>
      <c r="D31" s="9" t="inlineStr">
        <is>
          <t>受限</t>
        </is>
      </c>
    </row>
    <row r="32">
      <c r="A32" s="9" t="inlineStr">
        <is>
          <t>EU</t>
        </is>
      </c>
      <c r="B32" s="9" t="inlineStr">
        <is>
          <t>个体电池编码前缀</t>
        </is>
      </c>
      <c r="C32" s="9" t="inlineStr">
        <is>
          <t>序列化规则</t>
        </is>
      </c>
      <c r="D32" s="9" t="inlineStr">
        <is>
          <t>受限</t>
        </is>
      </c>
    </row>
    <row r="33">
      <c r="A33" s="9" t="inlineStr">
        <is>
          <t>EU</t>
        </is>
      </c>
      <c r="B33" s="9" t="inlineStr">
        <is>
          <t>EU 输出完备度</t>
        </is>
      </c>
      <c r="C33" s="9" t="inlineStr">
        <is>
          <t>内部管理指标</t>
        </is>
      </c>
      <c r="D33" s="9" t="inlineStr">
        <is>
          <t>内部</t>
        </is>
      </c>
    </row>
    <row r="34">
      <c r="A34" s="9" t="inlineStr">
        <is>
          <t>EU</t>
        </is>
      </c>
      <c r="B34" s="9" t="inlineStr">
        <is>
          <t>EU 输出结论</t>
        </is>
      </c>
      <c r="C34" s="9" t="inlineStr">
        <is>
          <t>汇报摘要字段</t>
        </is>
      </c>
      <c r="D34" s="9" t="inlineStr">
        <is>
          <t>公开</t>
        </is>
      </c>
    </row>
    <row r="35">
      <c r="A35" s="9" t="inlineStr">
        <is>
          <t>CBAM</t>
        </is>
      </c>
      <c r="B35" s="9" t="inlineStr">
        <is>
          <t>电池型号</t>
        </is>
      </c>
      <c r="C35" s="9" t="inlineStr">
        <is>
          <t>产品锚点</t>
        </is>
      </c>
      <c r="D35" s="9" t="inlineStr">
        <is>
          <t>受限</t>
        </is>
      </c>
    </row>
    <row r="36">
      <c r="A36" s="9" t="inlineStr">
        <is>
          <t>CBAM</t>
        </is>
      </c>
      <c r="B36" s="9" t="inlineStr">
        <is>
          <t>产品报告期</t>
        </is>
      </c>
      <c r="C36" s="9" t="inlineStr">
        <is>
          <t>时间锚点</t>
        </is>
      </c>
      <c r="D36" s="9" t="inlineStr">
        <is>
          <t>受限</t>
        </is>
      </c>
    </row>
    <row r="37">
      <c r="A37" s="9" t="inlineStr">
        <is>
          <t>CBAM</t>
        </is>
      </c>
      <c r="B37" s="9" t="inlineStr">
        <is>
          <t>上游材料报告期</t>
        </is>
      </c>
      <c r="C37" s="9" t="inlineStr">
        <is>
          <t>上游锚点</t>
        </is>
      </c>
      <c r="D37" s="9" t="inlineStr">
        <is>
          <t>受限</t>
        </is>
      </c>
    </row>
    <row r="38">
      <c r="A38" s="9" t="inlineStr">
        <is>
          <t>CBAM</t>
        </is>
      </c>
      <c r="B38" s="9" t="inlineStr">
        <is>
          <t>铝材供应商安装点 ID</t>
        </is>
      </c>
      <c r="C38" s="9" t="inlineStr">
        <is>
          <t>供应商安装点</t>
        </is>
      </c>
      <c r="D38" s="9" t="inlineStr">
        <is>
          <t>高度受限</t>
        </is>
      </c>
    </row>
    <row r="39">
      <c r="A39" s="9" t="inlineStr">
        <is>
          <t>CBAM</t>
        </is>
      </c>
      <c r="B39" s="9" t="inlineStr">
        <is>
          <t>铝材质量(kg)</t>
        </is>
      </c>
      <c r="C39" s="9" t="inlineStr">
        <is>
          <t>敏感材料数据</t>
        </is>
      </c>
      <c r="D39" s="9" t="inlineStr">
        <is>
          <t>受限</t>
        </is>
      </c>
    </row>
    <row r="40" ht="27" customHeight="1" s="30">
      <c r="A40" s="9" t="inlineStr">
        <is>
          <t>CBAM</t>
        </is>
      </c>
      <c r="B40" s="9" t="inlineStr">
        <is>
          <t>铝材直接排放因子(kgCO2e/kg)</t>
        </is>
      </c>
      <c r="C40" s="9" t="inlineStr">
        <is>
          <t>敏感上游因子</t>
        </is>
      </c>
      <c r="D40" s="9" t="inlineStr">
        <is>
          <t>高度受限</t>
        </is>
      </c>
    </row>
    <row r="41" ht="27" customHeight="1" s="30">
      <c r="A41" s="9" t="inlineStr">
        <is>
          <t>CBAM</t>
        </is>
      </c>
      <c r="B41" s="9" t="inlineStr">
        <is>
          <t>铝材间接排放因子(kgCO2e/kg)</t>
        </is>
      </c>
      <c r="C41" s="9" t="inlineStr">
        <is>
          <t>敏感上游因子</t>
        </is>
      </c>
      <c r="D41" s="9" t="inlineStr">
        <is>
          <t>高度受限</t>
        </is>
      </c>
    </row>
    <row r="42" ht="27" customHeight="1" s="30">
      <c r="A42" s="9" t="inlineStr">
        <is>
          <t>CBAM</t>
        </is>
      </c>
      <c r="B42" s="9" t="inlineStr">
        <is>
          <t>铝材总嵌入排放(kgCO2e/申报单元)</t>
        </is>
      </c>
      <c r="C42" s="9" t="inlineStr">
        <is>
          <t>上游结果字段</t>
        </is>
      </c>
      <c r="D42" s="9" t="inlineStr">
        <is>
          <t>受限</t>
        </is>
      </c>
    </row>
    <row r="43">
      <c r="A43" s="9" t="inlineStr">
        <is>
          <t>CBAM</t>
        </is>
      </c>
      <c r="B43" s="9" t="inlineStr">
        <is>
          <t>铝材核验状态</t>
        </is>
      </c>
      <c r="C43" s="9" t="inlineStr">
        <is>
          <t>供应商核验状态</t>
        </is>
      </c>
      <c r="D43" s="9" t="inlineStr">
        <is>
          <t>内部</t>
        </is>
      </c>
    </row>
    <row r="44">
      <c r="A44" s="9" t="inlineStr">
        <is>
          <t>CBAM</t>
        </is>
      </c>
      <c r="B44" s="9" t="inlineStr">
        <is>
          <t>钢材供应商安装点 ID</t>
        </is>
      </c>
      <c r="C44" s="9" t="inlineStr">
        <is>
          <t>供应商安装点</t>
        </is>
      </c>
      <c r="D44" s="9" t="inlineStr">
        <is>
          <t>高度受限</t>
        </is>
      </c>
    </row>
    <row r="45">
      <c r="A45" s="9" t="inlineStr">
        <is>
          <t>CBAM</t>
        </is>
      </c>
      <c r="B45" s="9" t="inlineStr">
        <is>
          <t>钢材质量(kg)</t>
        </is>
      </c>
      <c r="C45" s="9" t="inlineStr">
        <is>
          <t>敏感材料数据</t>
        </is>
      </c>
      <c r="D45" s="9" t="inlineStr">
        <is>
          <t>受限</t>
        </is>
      </c>
    </row>
    <row r="46" ht="27" customHeight="1" s="30">
      <c r="A46" s="9" t="inlineStr">
        <is>
          <t>CBAM</t>
        </is>
      </c>
      <c r="B46" s="9" t="inlineStr">
        <is>
          <t>钢材直接排放因子(kgCO2e/kg)</t>
        </is>
      </c>
      <c r="C46" s="9" t="inlineStr">
        <is>
          <t>敏感上游因子</t>
        </is>
      </c>
      <c r="D46" s="9" t="inlineStr">
        <is>
          <t>高度受限</t>
        </is>
      </c>
    </row>
    <row r="47" ht="27" customHeight="1" s="30">
      <c r="A47" s="9" t="inlineStr">
        <is>
          <t>CBAM</t>
        </is>
      </c>
      <c r="B47" s="9" t="inlineStr">
        <is>
          <t>钢材间接排放因子(kgCO2e/kg)</t>
        </is>
      </c>
      <c r="C47" s="9" t="inlineStr">
        <is>
          <t>敏感上游因子</t>
        </is>
      </c>
      <c r="D47" s="9" t="inlineStr">
        <is>
          <t>高度受限</t>
        </is>
      </c>
    </row>
    <row r="48" ht="27" customHeight="1" s="30">
      <c r="A48" s="9" t="inlineStr">
        <is>
          <t>CBAM</t>
        </is>
      </c>
      <c r="B48" s="9" t="inlineStr">
        <is>
          <t>钢材总嵌入排放(kgCO2e/申报单元)</t>
        </is>
      </c>
      <c r="C48" s="9" t="inlineStr">
        <is>
          <t>上游结果字段</t>
        </is>
      </c>
      <c r="D48" s="9" t="inlineStr">
        <is>
          <t>受限</t>
        </is>
      </c>
    </row>
    <row r="49">
      <c r="A49" s="9" t="inlineStr">
        <is>
          <t>CBAM</t>
        </is>
      </c>
      <c r="B49" s="9" t="inlineStr">
        <is>
          <t>钢材核验状态</t>
        </is>
      </c>
      <c r="C49" s="9" t="inlineStr">
        <is>
          <t>供应商核验状态</t>
        </is>
      </c>
      <c r="D49" s="9" t="inlineStr">
        <is>
          <t>内部</t>
        </is>
      </c>
    </row>
    <row r="50" ht="27" customHeight="1" s="30">
      <c r="A50" s="9" t="inlineStr">
        <is>
          <t>CBAM</t>
        </is>
      </c>
      <c r="B50" s="9" t="inlineStr">
        <is>
          <t>覆盖材料总嵌入排放(kgCO2e/申报单元)</t>
        </is>
      </c>
      <c r="C50" s="9" t="inlineStr">
        <is>
          <t>影子汇总结果</t>
        </is>
      </c>
      <c r="D50" s="9" t="inlineStr">
        <is>
          <t>受限</t>
        </is>
      </c>
    </row>
    <row r="51">
      <c r="A51" s="9" t="inlineStr">
        <is>
          <t>CBAM</t>
        </is>
      </c>
      <c r="B51" s="9" t="inlineStr">
        <is>
          <t>覆盖材料占整包总排放比重</t>
        </is>
      </c>
      <c r="C51" s="9" t="inlineStr">
        <is>
          <t>兼容分析指标</t>
        </is>
      </c>
      <c r="D51" s="9" t="inlineStr">
        <is>
          <t>受限</t>
        </is>
      </c>
    </row>
    <row r="52">
      <c r="A52" s="9" t="inlineStr">
        <is>
          <t>CBAM</t>
        </is>
      </c>
      <c r="B52" s="9" t="inlineStr">
        <is>
          <t>供应商 PCF 覆盖率</t>
        </is>
      </c>
      <c r="C52" s="9" t="inlineStr">
        <is>
          <t>内部管理指标</t>
        </is>
      </c>
      <c r="D52" s="9" t="inlineStr">
        <is>
          <t>内部</t>
        </is>
      </c>
    </row>
    <row r="53">
      <c r="A53" s="9" t="inlineStr">
        <is>
          <t>CBAM</t>
        </is>
      </c>
      <c r="B53" s="9" t="inlineStr">
        <is>
          <t>CBAM 兼容输出完备度</t>
        </is>
      </c>
      <c r="C53" s="9" t="inlineStr">
        <is>
          <t>内部管理指标</t>
        </is>
      </c>
      <c r="D53" s="9" t="inlineStr">
        <is>
          <t>内部</t>
        </is>
      </c>
    </row>
    <row r="54">
      <c r="A54" s="9" t="inlineStr">
        <is>
          <t>CBAM</t>
        </is>
      </c>
      <c r="B54" s="9" t="inlineStr">
        <is>
          <t>CBAM 兼容输出结论</t>
        </is>
      </c>
      <c r="C54" s="9" t="inlineStr">
        <is>
          <t>汇报摘要字段</t>
        </is>
      </c>
      <c r="D54" s="9" t="inlineStr">
        <is>
          <t>公开</t>
        </is>
      </c>
    </row>
  </sheetData>
  <autoFilter ref="A3:D54"/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4" customWidth="1" style="30" min="1" max="1"/>
    <col width="24" customWidth="1" style="30" min="2" max="3"/>
    <col width="18" customWidth="1" style="30" min="4" max="4"/>
  </cols>
  <sheetData>
    <row r="1">
      <c r="A1" s="32" t="inlineStr">
        <is>
          <t>生命周期碳足迹计算过程（全部自动公式）</t>
        </is>
      </c>
    </row>
    <row r="3">
      <c r="A3" s="1" t="inlineStr">
        <is>
          <t>计算模块</t>
        </is>
      </c>
      <c r="B3" s="1" t="inlineStr">
        <is>
          <t>计算项</t>
        </is>
      </c>
      <c r="C3" s="1" t="inlineStr">
        <is>
          <t>计算逻辑</t>
        </is>
      </c>
      <c r="D3" s="1" t="inlineStr">
        <is>
          <t>当前结果预览</t>
        </is>
      </c>
    </row>
    <row r="4">
      <c r="A4" s="2" t="inlineStr">
        <is>
          <t>原材料阶段</t>
        </is>
      </c>
      <c r="B4" s="2" t="inlineStr">
        <is>
          <t>正极材料排放</t>
        </is>
      </c>
      <c r="C4" s="2" t="inlineStr">
        <is>
          <t>质量 x 排放因子</t>
        </is>
      </c>
      <c r="D4" s="6" t="n">
        <v>700</v>
      </c>
    </row>
    <row r="5">
      <c r="A5" s="2" t="inlineStr">
        <is>
          <t>原材料阶段</t>
        </is>
      </c>
      <c r="B5" s="2" t="inlineStr">
        <is>
          <t>负极材料排放</t>
        </is>
      </c>
      <c r="C5" s="2" t="inlineStr">
        <is>
          <t>质量 x 排放因子</t>
        </is>
      </c>
      <c r="D5" s="6" t="n">
        <v>455</v>
      </c>
    </row>
    <row r="6">
      <c r="A6" s="2" t="inlineStr">
        <is>
          <t>原材料阶段</t>
        </is>
      </c>
      <c r="B6" s="2" t="inlineStr">
        <is>
          <t>电解液排放</t>
        </is>
      </c>
      <c r="C6" s="2" t="inlineStr">
        <is>
          <t>质量 x 排放因子</t>
        </is>
      </c>
      <c r="D6" s="6" t="n">
        <v>280</v>
      </c>
    </row>
    <row r="7">
      <c r="A7" s="2" t="inlineStr">
        <is>
          <t>原材料阶段</t>
        </is>
      </c>
      <c r="B7" s="2" t="inlineStr">
        <is>
          <t>隔膜排放</t>
        </is>
      </c>
      <c r="C7" s="2" t="inlineStr">
        <is>
          <t>质量 x 排放因子</t>
        </is>
      </c>
      <c r="D7" s="6" t="n">
        <v>54</v>
      </c>
    </row>
    <row r="8">
      <c r="A8" s="2" t="inlineStr">
        <is>
          <t>原材料阶段</t>
        </is>
      </c>
      <c r="B8" s="2" t="inlineStr">
        <is>
          <t>铜材排放</t>
        </is>
      </c>
      <c r="C8" s="2" t="inlineStr">
        <is>
          <t>质量 x 排放因子</t>
        </is>
      </c>
      <c r="D8" s="6" t="n">
        <v>190</v>
      </c>
    </row>
    <row r="9">
      <c r="A9" s="2" t="inlineStr">
        <is>
          <t>原材料阶段</t>
        </is>
      </c>
      <c r="B9" s="2" t="inlineStr">
        <is>
          <t>铝材直接排放</t>
        </is>
      </c>
      <c r="C9" s="2" t="inlineStr">
        <is>
          <t>质量 x 直接因子</t>
        </is>
      </c>
      <c r="D9" s="6" t="n">
        <v>720</v>
      </c>
    </row>
    <row r="10">
      <c r="A10" s="2" t="inlineStr">
        <is>
          <t>原材料阶段</t>
        </is>
      </c>
      <c r="B10" s="2" t="inlineStr">
        <is>
          <t>铝材间接排放</t>
        </is>
      </c>
      <c r="C10" s="2" t="inlineStr">
        <is>
          <t>质量 x 间接因子</t>
        </is>
      </c>
      <c r="D10" s="6" t="n">
        <v>400</v>
      </c>
    </row>
    <row r="11">
      <c r="A11" s="2" t="inlineStr">
        <is>
          <t>原材料阶段</t>
        </is>
      </c>
      <c r="B11" s="2" t="inlineStr">
        <is>
          <t>钢材直接排放</t>
        </is>
      </c>
      <c r="C11" s="2" t="inlineStr">
        <is>
          <t>质量 x 直接因子</t>
        </is>
      </c>
      <c r="D11" s="6" t="n">
        <v>60</v>
      </c>
    </row>
    <row r="12">
      <c r="A12" s="2" t="inlineStr">
        <is>
          <t>原材料阶段</t>
        </is>
      </c>
      <c r="B12" s="2" t="inlineStr">
        <is>
          <t>钢材间接排放</t>
        </is>
      </c>
      <c r="C12" s="2" t="inlineStr">
        <is>
          <t>质量 x 间接因子</t>
        </is>
      </c>
      <c r="D12" s="6" t="n">
        <v>21</v>
      </c>
    </row>
    <row r="13">
      <c r="A13" s="2" t="inlineStr">
        <is>
          <t>原材料阶段</t>
        </is>
      </c>
      <c r="B13" s="2" t="inlineStr">
        <is>
          <t>塑料件排放</t>
        </is>
      </c>
      <c r="C13" s="2" t="inlineStr">
        <is>
          <t>质量 x 排放因子</t>
        </is>
      </c>
      <c r="D13" s="6" t="n">
        <v>75</v>
      </c>
    </row>
    <row r="14">
      <c r="A14" s="2" t="inlineStr">
        <is>
          <t>原材料阶段</t>
        </is>
      </c>
      <c r="B14" s="2" t="inlineStr">
        <is>
          <t>其他材料排放</t>
        </is>
      </c>
      <c r="C14" s="2" t="inlineStr">
        <is>
          <t>质量 x 排放因子</t>
        </is>
      </c>
      <c r="D14" s="6" t="n">
        <v>230</v>
      </c>
    </row>
    <row r="15">
      <c r="A15" s="2" t="inlineStr">
        <is>
          <t>原材料阶段</t>
        </is>
      </c>
      <c r="B15" s="2" t="inlineStr">
        <is>
          <t>原材料阶段合计</t>
        </is>
      </c>
      <c r="C15" s="2" t="inlineStr">
        <is>
          <t>上述求和</t>
        </is>
      </c>
      <c r="D15" s="6" t="n">
        <v>3185</v>
      </c>
    </row>
    <row r="16">
      <c r="A16" s="2" t="inlineStr">
        <is>
          <t>制造阶段</t>
        </is>
      </c>
      <c r="B16" s="2" t="inlineStr">
        <is>
          <t>电网电排放</t>
        </is>
      </c>
      <c r="C16" s="2" t="inlineStr">
        <is>
          <t>用量 x 因子</t>
        </is>
      </c>
      <c r="D16" s="6" t="n">
        <v>247.5</v>
      </c>
    </row>
    <row r="17">
      <c r="A17" s="2" t="inlineStr">
        <is>
          <t>制造阶段</t>
        </is>
      </c>
      <c r="B17" s="2" t="inlineStr">
        <is>
          <t>绿电排放</t>
        </is>
      </c>
      <c r="C17" s="2" t="inlineStr">
        <is>
          <t>用量 x 因子</t>
        </is>
      </c>
      <c r="D17" s="6" t="n">
        <v>7.5</v>
      </c>
    </row>
    <row r="18">
      <c r="A18" s="2" t="inlineStr">
        <is>
          <t>制造阶段</t>
        </is>
      </c>
      <c r="B18" s="2" t="inlineStr">
        <is>
          <t>蒸汽排放</t>
        </is>
      </c>
      <c r="C18" s="2" t="inlineStr">
        <is>
          <t>用量 x 因子</t>
        </is>
      </c>
      <c r="D18" s="6" t="n">
        <v>15.4</v>
      </c>
    </row>
    <row r="19">
      <c r="A19" s="2" t="inlineStr">
        <is>
          <t>制造阶段</t>
        </is>
      </c>
      <c r="B19" s="2" t="inlineStr">
        <is>
          <t>天然气排放</t>
        </is>
      </c>
      <c r="C19" s="2" t="inlineStr">
        <is>
          <t>用量 x 因子</t>
        </is>
      </c>
      <c r="D19" s="6" t="n">
        <v>6.72</v>
      </c>
    </row>
    <row r="20">
      <c r="A20" s="2" t="inlineStr">
        <is>
          <t>制造阶段</t>
        </is>
      </c>
      <c r="B20" s="2" t="inlineStr">
        <is>
          <t>制造阶段良率调整前</t>
        </is>
      </c>
      <c r="C20" s="2" t="inlineStr">
        <is>
          <t>能耗排放 + 工艺排放</t>
        </is>
      </c>
      <c r="D20" s="6" t="n">
        <v>295.1200000000001</v>
      </c>
    </row>
    <row r="21">
      <c r="A21" s="2" t="inlineStr">
        <is>
          <t>制造阶段</t>
        </is>
      </c>
      <c r="B21" s="2" t="inlineStr">
        <is>
          <t>制造阶段良率调整后</t>
        </is>
      </c>
      <c r="C21" s="2" t="inlineStr">
        <is>
          <t>良率调整后结果</t>
        </is>
      </c>
      <c r="D21" s="6" t="n">
        <v>313.9574468085107</v>
      </c>
    </row>
    <row r="22">
      <c r="A22" s="2" t="inlineStr">
        <is>
          <t>运输阶段</t>
        </is>
      </c>
      <c r="B22" s="2" t="inlineStr">
        <is>
          <t>运输阶段合计</t>
        </is>
      </c>
      <c r="C22" s="2" t="inlineStr">
        <is>
          <t>上游运输 + 下游运输</t>
        </is>
      </c>
      <c r="D22" s="6" t="n">
        <v>42</v>
      </c>
    </row>
    <row r="23">
      <c r="A23" s="2" t="inlineStr">
        <is>
          <t>终端回收</t>
        </is>
      </c>
      <c r="B23" s="2" t="inlineStr">
        <is>
          <t>终端回收信用</t>
        </is>
      </c>
      <c r="C23" s="2" t="inlineStr">
        <is>
          <t>回收信用输入</t>
        </is>
      </c>
      <c r="D23" s="6" t="n">
        <v>-15</v>
      </c>
    </row>
    <row r="24">
      <c r="A24" s="2" t="inlineStr">
        <is>
          <t>总量</t>
        </is>
      </c>
      <c r="B24" s="2" t="inlineStr">
        <is>
          <t>整包总碳足迹</t>
        </is>
      </c>
      <c r="C24" s="2" t="inlineStr">
        <is>
          <t>各阶段汇总</t>
        </is>
      </c>
      <c r="D24" s="6" t="n">
        <v>3525.957446808511</v>
      </c>
    </row>
    <row r="25">
      <c r="A25" s="2" t="inlineStr">
        <is>
          <t>总量</t>
        </is>
      </c>
      <c r="B25" s="2" t="inlineStr">
        <is>
          <t>整包碳足迹强度</t>
        </is>
      </c>
      <c r="C25" s="2" t="inlineStr">
        <is>
          <t>整包总碳足迹 / 容量</t>
        </is>
      </c>
      <c r="D25" s="6" t="n">
        <v>48.97163120567376</v>
      </c>
    </row>
    <row r="26">
      <c r="A26" s="2" t="inlineStr">
        <is>
          <t>阶段强度</t>
        </is>
      </c>
      <c r="B26" s="2" t="inlineStr">
        <is>
          <t>原材料阶段强度</t>
        </is>
      </c>
      <c r="C26" s="2" t="inlineStr">
        <is>
          <t>原材料阶段合计 / 容量</t>
        </is>
      </c>
      <c r="D26" s="6" t="n">
        <v>44.23611111111111</v>
      </c>
    </row>
    <row r="27">
      <c r="A27" s="2" t="inlineStr">
        <is>
          <t>阶段强度</t>
        </is>
      </c>
      <c r="B27" s="2" t="inlineStr">
        <is>
          <t>制造阶段强度</t>
        </is>
      </c>
      <c r="C27" s="2" t="inlineStr">
        <is>
          <t>制造阶段合计 / 容量</t>
        </is>
      </c>
      <c r="D27" s="6" t="n">
        <v>4.360520094562649</v>
      </c>
    </row>
    <row r="28">
      <c r="A28" s="2" t="inlineStr">
        <is>
          <t>阶段强度</t>
        </is>
      </c>
      <c r="B28" s="2" t="inlineStr">
        <is>
          <t>运输阶段强度</t>
        </is>
      </c>
      <c r="C28" s="2" t="inlineStr">
        <is>
          <t>运输阶段合计 / 容量</t>
        </is>
      </c>
      <c r="D28" s="6" t="n">
        <v>0.5833333333333334</v>
      </c>
    </row>
    <row r="29">
      <c r="A29" s="2" t="inlineStr">
        <is>
          <t>阶段强度</t>
        </is>
      </c>
      <c r="B29" s="2" t="inlineStr">
        <is>
          <t>终端回收阶段强度</t>
        </is>
      </c>
      <c r="C29" s="2" t="inlineStr">
        <is>
          <t>终端回收信用 / 容量</t>
        </is>
      </c>
      <c r="D29" s="6" t="n">
        <v>-0.2083333333333333</v>
      </c>
    </row>
    <row r="30">
      <c r="A30" s="2" t="inlineStr">
        <is>
          <t>CBAM影子</t>
        </is>
      </c>
      <c r="B30" s="2" t="inlineStr">
        <is>
          <t>铝材总嵌入排放</t>
        </is>
      </c>
      <c r="C30" s="2" t="inlineStr">
        <is>
          <t>铝材直接 + 间接</t>
        </is>
      </c>
      <c r="D30" s="6" t="n">
        <v>1120</v>
      </c>
    </row>
    <row r="31">
      <c r="A31" s="2" t="inlineStr">
        <is>
          <t>CBAM影子</t>
        </is>
      </c>
      <c r="B31" s="2" t="inlineStr">
        <is>
          <t>钢材总嵌入排放</t>
        </is>
      </c>
      <c r="C31" s="2" t="inlineStr">
        <is>
          <t>钢材直接 + 间接</t>
        </is>
      </c>
      <c r="D31" s="6" t="n">
        <v>81</v>
      </c>
    </row>
    <row r="32">
      <c r="A32" s="2" t="inlineStr">
        <is>
          <t>CBAM影子</t>
        </is>
      </c>
      <c r="B32" s="2" t="inlineStr">
        <is>
          <t>覆盖材料总嵌入排放</t>
        </is>
      </c>
      <c r="C32" s="2" t="inlineStr">
        <is>
          <t>铝材 + 钢材</t>
        </is>
      </c>
      <c r="D32" s="6" t="n">
        <v>1201</v>
      </c>
    </row>
    <row r="33" ht="27" customHeight="1" s="30">
      <c r="A33" s="2" t="inlineStr">
        <is>
          <t>CBAM影子</t>
        </is>
      </c>
      <c r="B33" s="2" t="inlineStr">
        <is>
          <t>覆盖材料占整包总排放比重</t>
        </is>
      </c>
      <c r="C33" s="2" t="inlineStr">
        <is>
          <t>覆盖材料总嵌入排放 / 整包总碳足迹</t>
        </is>
      </c>
      <c r="D33" s="6" t="n">
        <v>0.3406167028723148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:D33"/>
  <mergeCells count="1">
    <mergeCell ref="A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4" customWidth="1" style="30" min="1" max="1"/>
    <col width="30" customWidth="1" style="30" min="2" max="2"/>
    <col width="16" customWidth="1" style="30" min="3" max="3"/>
    <col width="18" customWidth="1" style="30" min="4" max="4"/>
  </cols>
  <sheetData>
    <row r="1">
      <c r="A1" s="32" t="inlineStr">
        <is>
          <t>09_EU中间表</t>
        </is>
      </c>
    </row>
    <row r="3">
      <c r="A3" s="1" t="inlineStr">
        <is>
          <t>分组</t>
        </is>
      </c>
      <c r="B3" s="1" t="inlineStr">
        <is>
          <t>目标字段</t>
        </is>
      </c>
      <c r="C3" s="1" t="inlineStr">
        <is>
          <t>单位</t>
        </is>
      </c>
      <c r="D3" s="1" t="inlineStr">
        <is>
          <t>当前结果预览</t>
        </is>
      </c>
    </row>
    <row r="4">
      <c r="A4" s="2" t="inlineStr">
        <is>
          <t>基本信息</t>
        </is>
      </c>
      <c r="B4" s="2" t="inlineStr">
        <is>
          <t>制造商名称</t>
        </is>
      </c>
      <c r="C4" s="2" t="inlineStr">
        <is>
          <t>文本</t>
        </is>
      </c>
      <c r="D4" s="34">
        <f>INDEX('01_手动输入'!$G:$G,MATCH("manufacturer_name",'01_手动输入'!$B:$B,0))</f>
        <v/>
      </c>
    </row>
    <row r="5" ht="27" customHeight="1" s="30">
      <c r="A5" s="2" t="inlineStr">
        <is>
          <t>基本信息</t>
        </is>
      </c>
      <c r="B5" s="2" t="inlineStr">
        <is>
          <t>产品名称</t>
        </is>
      </c>
      <c r="C5" s="2" t="inlineStr">
        <is>
          <t>文本</t>
        </is>
      </c>
      <c r="D5" s="34">
        <f>INDEX('01_手动输入'!$G:$G,MATCH("product_name",'01_手动输入'!$B:$B,0))</f>
        <v/>
      </c>
    </row>
    <row r="6" ht="27" customHeight="1" s="30">
      <c r="A6" s="2" t="inlineStr">
        <is>
          <t>基本信息</t>
        </is>
      </c>
      <c r="B6" s="2" t="inlineStr">
        <is>
          <t>电池型号</t>
        </is>
      </c>
      <c r="C6" s="2" t="inlineStr">
        <is>
          <t>文本</t>
        </is>
      </c>
      <c r="D6" s="34">
        <f>INDEX('01_手动输入'!$G:$G,MATCH("model_code",'01_手动输入'!$B:$B,0))</f>
        <v/>
      </c>
    </row>
    <row r="7">
      <c r="A7" s="2" t="inlineStr">
        <is>
          <t>基本信息</t>
        </is>
      </c>
      <c r="B7" s="2" t="inlineStr">
        <is>
          <t>产品类别</t>
        </is>
      </c>
      <c r="C7" s="2" t="inlineStr">
        <is>
          <t>文本</t>
        </is>
      </c>
      <c r="D7" s="34">
        <f>INDEX('01_手动输入'!$G:$G,MATCH("battery_category",'01_手动输入'!$B:$B,0))</f>
        <v/>
      </c>
    </row>
    <row r="8">
      <c r="A8" s="2" t="inlineStr">
        <is>
          <t>基本信息</t>
        </is>
      </c>
      <c r="B8" s="2" t="inlineStr">
        <is>
          <t>化学体系</t>
        </is>
      </c>
      <c r="C8" s="2" t="inlineStr">
        <is>
          <t>文本</t>
        </is>
      </c>
      <c r="D8" s="34">
        <f>INDEX('01_手动输入'!$G:$G,MATCH("chemistry",'01_手动输入'!$B:$B,0))</f>
        <v/>
      </c>
    </row>
    <row r="9" ht="27" customHeight="1" s="30">
      <c r="A9" s="2" t="inlineStr">
        <is>
          <t>基本信息</t>
        </is>
      </c>
      <c r="B9" s="2" t="inlineStr">
        <is>
          <t>制造工厂代码</t>
        </is>
      </c>
      <c r="C9" s="2" t="inlineStr">
        <is>
          <t>文本</t>
        </is>
      </c>
      <c r="D9" s="34">
        <f>INDEX('01_手动输入'!$G:$G,MATCH("plant_code",'01_手动输入'!$B:$B,0))</f>
        <v/>
      </c>
    </row>
    <row r="10">
      <c r="A10" s="2" t="inlineStr">
        <is>
          <t>基本信息</t>
        </is>
      </c>
      <c r="B10" s="2" t="inlineStr">
        <is>
          <t>制造工厂名称</t>
        </is>
      </c>
      <c r="C10" s="2" t="inlineStr">
        <is>
          <t>文本</t>
        </is>
      </c>
      <c r="D10" s="34">
        <f>INDEX('01_手动输入'!$G:$G,MATCH("plant_name",'01_手动输入'!$B:$B,0))</f>
        <v/>
      </c>
    </row>
    <row r="11">
      <c r="A11" s="2" t="inlineStr">
        <is>
          <t>基本信息</t>
        </is>
      </c>
      <c r="B11" s="2" t="inlineStr">
        <is>
          <t>报告期</t>
        </is>
      </c>
      <c r="C11" s="2" t="inlineStr">
        <is>
          <t>文本</t>
        </is>
      </c>
      <c r="D11" s="34">
        <f>INDEX('01_手动输入'!$G:$G,MATCH("reporting_period",'01_手动输入'!$B:$B,0))</f>
        <v/>
      </c>
    </row>
    <row r="12">
      <c r="A12" s="2" t="inlineStr">
        <is>
          <t>产品参数</t>
        </is>
      </c>
      <c r="B12" s="2" t="inlineStr">
        <is>
          <t>申报单元申报单元额定容量(kWh)</t>
        </is>
      </c>
      <c r="C12" s="2" t="inlineStr">
        <is>
          <t>kWh</t>
        </is>
      </c>
      <c r="D12" s="6" t="n">
        <v>72</v>
      </c>
    </row>
    <row r="13">
      <c r="A13" s="2" t="inlineStr">
        <is>
          <t>产品参数</t>
        </is>
      </c>
      <c r="B13" s="2" t="inlineStr">
        <is>
          <t>标称电压(V)</t>
        </is>
      </c>
      <c r="C13" s="2" t="inlineStr">
        <is>
          <t>V</t>
        </is>
      </c>
      <c r="D13" s="6" t="n">
        <v>800</v>
      </c>
    </row>
    <row r="14">
      <c r="A14" s="2" t="inlineStr">
        <is>
          <t>产品参数</t>
        </is>
      </c>
      <c r="B14" s="2" t="inlineStr">
        <is>
          <t>循环寿命(cycles)</t>
        </is>
      </c>
      <c r="C14" s="2" t="inlineStr">
        <is>
          <t>cycles</t>
        </is>
      </c>
      <c r="D14" s="6" t="n">
        <v>4000</v>
      </c>
    </row>
    <row r="15" ht="27" customHeight="1" s="30">
      <c r="A15" s="2" t="inlineStr">
        <is>
          <t>碳足迹</t>
        </is>
      </c>
      <c r="B15" s="2" t="inlineStr">
        <is>
          <t>声明总碳足迹(kgCO2e/申报单元)</t>
        </is>
      </c>
      <c r="C15" s="2" t="inlineStr">
        <is>
          <t>kgCO2e/declared unit</t>
        </is>
      </c>
      <c r="D15" s="6" t="n">
        <v>3525.957446808511</v>
      </c>
    </row>
    <row r="16">
      <c r="A16" s="2" t="inlineStr">
        <is>
          <t>碳足迹</t>
        </is>
      </c>
      <c r="B16" s="2" t="inlineStr">
        <is>
          <t>声明总碳足迹(kgCO2e/kWh)</t>
        </is>
      </c>
      <c r="C16" s="2" t="inlineStr">
        <is>
          <t>kgCO2e/kWh</t>
        </is>
      </c>
      <c r="D16" s="6" t="n">
        <v>48.97163120567376</v>
      </c>
    </row>
    <row r="17">
      <c r="A17" s="2" t="inlineStr">
        <is>
          <t>碳足迹</t>
        </is>
      </c>
      <c r="B17" s="2" t="inlineStr">
        <is>
          <t>原材料阶段(kgCO2e/kWh)</t>
        </is>
      </c>
      <c r="C17" s="2" t="inlineStr">
        <is>
          <t>kgCO2e/kWh</t>
        </is>
      </c>
      <c r="D17" s="6" t="n">
        <v>44.23611111111111</v>
      </c>
    </row>
    <row r="18">
      <c r="A18" s="2" t="inlineStr">
        <is>
          <t>碳足迹</t>
        </is>
      </c>
      <c r="B18" s="2" t="inlineStr">
        <is>
          <t>制造阶段(kgCO2e/kWh)</t>
        </is>
      </c>
      <c r="C18" s="2" t="inlineStr">
        <is>
          <t>kgCO2e/kWh</t>
        </is>
      </c>
      <c r="D18" s="6" t="n">
        <v>4.360520094562649</v>
      </c>
    </row>
    <row r="19">
      <c r="A19" s="2" t="inlineStr">
        <is>
          <t>碳足迹</t>
        </is>
      </c>
      <c r="B19" s="2" t="inlineStr">
        <is>
          <t>运输阶段(kgCO2e/kWh)</t>
        </is>
      </c>
      <c r="C19" s="2" t="inlineStr">
        <is>
          <t>kgCO2e/kWh</t>
        </is>
      </c>
      <c r="D19" s="6" t="n">
        <v>0.5833333333333334</v>
      </c>
    </row>
    <row r="20">
      <c r="A20" s="2" t="inlineStr">
        <is>
          <t>碳足迹</t>
        </is>
      </c>
      <c r="B20" s="2" t="inlineStr">
        <is>
          <t>终端回收阶段(kgCO2e/kWh)</t>
        </is>
      </c>
      <c r="C20" s="2" t="inlineStr">
        <is>
          <t>kgCO2e/kWh</t>
        </is>
      </c>
      <c r="D20" s="6" t="n">
        <v>-0.2083333333333333</v>
      </c>
    </row>
    <row r="21">
      <c r="A21" s="2" t="inlineStr">
        <is>
          <t>再生材料</t>
        </is>
      </c>
      <c r="B21" s="2" t="inlineStr">
        <is>
          <t>再生锂占比</t>
        </is>
      </c>
      <c r="C21" s="2" t="inlineStr">
        <is>
          <t>%</t>
        </is>
      </c>
      <c r="D21" s="37" t="n">
        <v>0.08</v>
      </c>
    </row>
    <row r="22">
      <c r="A22" s="2" t="inlineStr">
        <is>
          <t>再生材料</t>
        </is>
      </c>
      <c r="B22" s="2" t="inlineStr">
        <is>
          <t>再生钴占比</t>
        </is>
      </c>
      <c r="C22" s="2" t="inlineStr">
        <is>
          <t>%</t>
        </is>
      </c>
      <c r="D22" s="37" t="n">
        <v>0</v>
      </c>
    </row>
    <row r="23">
      <c r="A23" s="2" t="inlineStr">
        <is>
          <t>再生材料</t>
        </is>
      </c>
      <c r="B23" s="2" t="inlineStr">
        <is>
          <t>再生镍占比</t>
        </is>
      </c>
      <c r="C23" s="2" t="inlineStr">
        <is>
          <t>%</t>
        </is>
      </c>
      <c r="D23" s="37" t="n">
        <v>0</v>
      </c>
    </row>
    <row r="24">
      <c r="A24" s="2" t="inlineStr">
        <is>
          <t>再生材料</t>
        </is>
      </c>
      <c r="B24" s="2" t="inlineStr">
        <is>
          <t>再生铅占比</t>
        </is>
      </c>
      <c r="C24" s="2" t="inlineStr">
        <is>
          <t>%</t>
        </is>
      </c>
      <c r="D24" s="37" t="n">
        <v>0</v>
      </c>
    </row>
    <row r="25" ht="27" customHeight="1" s="30">
      <c r="A25" s="2" t="inlineStr">
        <is>
          <t>尽调与追溯</t>
        </is>
      </c>
      <c r="B25" s="2" t="inlineStr">
        <is>
          <t>尽调政策链接</t>
        </is>
      </c>
      <c r="C25" s="2" t="inlineStr">
        <is>
          <t>文本</t>
        </is>
      </c>
      <c r="D25" s="34" t="inlineStr">
        <is>
          <t>https://www.catl.com/</t>
        </is>
      </c>
    </row>
    <row r="26" ht="54" customHeight="1" s="30">
      <c r="A26" s="2" t="inlineStr">
        <is>
          <t>尽调与追溯</t>
        </is>
      </c>
      <c r="B26" s="2" t="inlineStr">
        <is>
          <t>关键原材料追溯范围</t>
        </is>
      </c>
      <c r="C26" s="2" t="inlineStr">
        <is>
          <t>文本</t>
        </is>
      </c>
      <c r="D26" s="34" t="inlineStr">
        <is>
          <t>lithium / graphite / aluminium / copper / steel</t>
        </is>
      </c>
    </row>
    <row r="27">
      <c r="A27" s="2" t="inlineStr">
        <is>
          <t>尽调与追溯</t>
        </is>
      </c>
      <c r="B27" s="2" t="inlineStr">
        <is>
          <t>供应链追溯覆盖率</t>
        </is>
      </c>
      <c r="C27" s="2" t="inlineStr">
        <is>
          <t>%</t>
        </is>
      </c>
      <c r="D27" s="37" t="n">
        <v>0.92</v>
      </c>
    </row>
    <row r="28">
      <c r="A28" s="2" t="inlineStr">
        <is>
          <t>文件与护照</t>
        </is>
      </c>
      <c r="B28" s="2" t="inlineStr">
        <is>
          <t>产品碳足迹研究底稿状态</t>
        </is>
      </c>
      <c r="C28" s="2" t="inlineStr">
        <is>
          <t>文本</t>
        </is>
      </c>
      <c r="D28" s="34" t="inlineStr">
        <is>
          <t>齐备</t>
        </is>
      </c>
    </row>
    <row r="29">
      <c r="A29" s="2" t="inlineStr">
        <is>
          <t>文件与护照</t>
        </is>
      </c>
      <c r="B29" s="2" t="inlineStr">
        <is>
          <t>测试报告状态</t>
        </is>
      </c>
      <c r="C29" s="2" t="inlineStr">
        <is>
          <t>文本</t>
        </is>
      </c>
      <c r="D29" s="34" t="inlineStr">
        <is>
          <t>齐备</t>
        </is>
      </c>
    </row>
    <row r="30">
      <c r="A30" s="2" t="inlineStr">
        <is>
          <t>文件与护照</t>
        </is>
      </c>
      <c r="B30" s="2" t="inlineStr">
        <is>
          <t>技术文档状态</t>
        </is>
      </c>
      <c r="C30" s="2" t="inlineStr">
        <is>
          <t>文本</t>
        </is>
      </c>
      <c r="D30" s="34" t="inlineStr">
        <is>
          <t>齐备</t>
        </is>
      </c>
    </row>
    <row r="31">
      <c r="A31" s="2" t="inlineStr">
        <is>
          <t>文件与护照</t>
        </is>
      </c>
      <c r="B31" s="2" t="inlineStr">
        <is>
          <t>护照对象 ID</t>
        </is>
      </c>
      <c r="C31" s="2" t="inlineStr">
        <is>
          <t>文本</t>
        </is>
      </c>
      <c r="D31" s="34" t="inlineStr">
        <is>
          <t>passport-demo-001</t>
        </is>
      </c>
    </row>
    <row r="32">
      <c r="A32" s="2" t="inlineStr">
        <is>
          <t>文件与护照</t>
        </is>
      </c>
      <c r="B32" s="2" t="inlineStr">
        <is>
          <t>个体电池编码前缀</t>
        </is>
      </c>
      <c r="C32" s="2" t="inlineStr">
        <is>
          <t>文本</t>
        </is>
      </c>
      <c r="D32" s="34" t="inlineStr">
        <is>
          <t>SXP25Q4</t>
        </is>
      </c>
    </row>
    <row r="33">
      <c r="A33" s="2" t="inlineStr">
        <is>
          <t>综合状态</t>
        </is>
      </c>
      <c r="B33" s="2" t="inlineStr">
        <is>
          <t>EU 输出完备度</t>
        </is>
      </c>
      <c r="C33" s="2" t="inlineStr">
        <is>
          <t>%</t>
        </is>
      </c>
      <c r="D33" s="37" t="n">
        <v>1</v>
      </c>
    </row>
    <row r="34" ht="27" customHeight="1" s="30">
      <c r="A34" s="2" t="inlineStr">
        <is>
          <t>综合状态</t>
        </is>
      </c>
      <c r="B34" s="2" t="inlineStr">
        <is>
          <t>EU 输出结论</t>
        </is>
      </c>
      <c r="C34" s="2" t="inlineStr">
        <is>
          <t>文本</t>
        </is>
      </c>
      <c r="D34" s="34" t="inlineStr">
        <is>
          <t>可作为通用模板示例输出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:D34"/>
  <mergeCells count="1">
    <mergeCell ref="A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4" customWidth="1" style="30" min="1" max="1"/>
    <col width="30" customWidth="1" style="30" min="2" max="2"/>
    <col width="16" customWidth="1" style="30" min="3" max="3"/>
    <col width="18" customWidth="1" style="30" min="4" max="4"/>
  </cols>
  <sheetData>
    <row r="1">
      <c r="A1" s="32" t="inlineStr">
        <is>
          <t>10_CBAM中间表</t>
        </is>
      </c>
    </row>
    <row r="3">
      <c r="A3" s="1" t="inlineStr">
        <is>
          <t>分组</t>
        </is>
      </c>
      <c r="B3" s="1" t="inlineStr">
        <is>
          <t>目标字段</t>
        </is>
      </c>
      <c r="C3" s="1" t="inlineStr">
        <is>
          <t>单位</t>
        </is>
      </c>
      <c r="D3" s="1" t="inlineStr">
        <is>
          <t>当前结果预览</t>
        </is>
      </c>
    </row>
    <row r="4" ht="27" customHeight="1" s="30">
      <c r="A4" s="2" t="inlineStr">
        <is>
          <t>基础锚点</t>
        </is>
      </c>
      <c r="B4" s="2" t="inlineStr">
        <is>
          <t>电池型号</t>
        </is>
      </c>
      <c r="C4" s="2" t="inlineStr">
        <is>
          <t>文本</t>
        </is>
      </c>
      <c r="D4" s="34">
        <f>INDEX('01_手动输入'!$G:$G,MATCH("model_code",'01_手动输入'!$B:$B,0))</f>
        <v/>
      </c>
    </row>
    <row r="5">
      <c r="A5" s="2" t="inlineStr">
        <is>
          <t>基础锚点</t>
        </is>
      </c>
      <c r="B5" s="2" t="inlineStr">
        <is>
          <t>产品报告期</t>
        </is>
      </c>
      <c r="C5" s="2" t="inlineStr">
        <is>
          <t>文本</t>
        </is>
      </c>
      <c r="D5" s="34">
        <f>INDEX('01_手动输入'!$G:$G,MATCH("reporting_period",'01_手动输入'!$B:$B,0))</f>
        <v/>
      </c>
    </row>
    <row r="6">
      <c r="A6" s="2" t="inlineStr">
        <is>
          <t>基础锚点</t>
        </is>
      </c>
      <c r="B6" s="2" t="inlineStr">
        <is>
          <t>上游材料报告期</t>
        </is>
      </c>
      <c r="C6" s="2" t="inlineStr">
        <is>
          <t>文本</t>
        </is>
      </c>
      <c r="D6" s="34">
        <f>INDEX('01_手动输入'!$G:$G,MATCH("upstream_reporting_period",'01_手动输入'!$B:$B,0))</f>
        <v/>
      </c>
    </row>
    <row r="7">
      <c r="A7" s="2" t="inlineStr">
        <is>
          <t>铝材模块</t>
        </is>
      </c>
      <c r="B7" s="2" t="inlineStr">
        <is>
          <t>铝材供应商安装点 ID</t>
        </is>
      </c>
      <c r="C7" s="2" t="inlineStr">
        <is>
          <t>文本</t>
        </is>
      </c>
      <c r="D7" s="34" t="inlineStr">
        <is>
          <t>AL-SUP-001</t>
        </is>
      </c>
    </row>
    <row r="8">
      <c r="A8" s="2" t="inlineStr">
        <is>
          <t>铝材模块</t>
        </is>
      </c>
      <c r="B8" s="2" t="inlineStr">
        <is>
          <t>铝材质量(kg)</t>
        </is>
      </c>
      <c r="C8" s="2" t="inlineStr">
        <is>
          <t>kg</t>
        </is>
      </c>
      <c r="D8" s="6" t="n">
        <v>80</v>
      </c>
    </row>
    <row r="9">
      <c r="A9" s="2" t="inlineStr">
        <is>
          <t>铝材模块</t>
        </is>
      </c>
      <c r="B9" s="2" t="inlineStr">
        <is>
          <t>铝材直接排放因子(kgCO2e/kg)</t>
        </is>
      </c>
      <c r="C9" s="2" t="inlineStr">
        <is>
          <t>kgCO2e/kg</t>
        </is>
      </c>
      <c r="D9" s="6" t="n">
        <v>9</v>
      </c>
    </row>
    <row r="10">
      <c r="A10" s="2" t="inlineStr">
        <is>
          <t>铝材模块</t>
        </is>
      </c>
      <c r="B10" s="2" t="inlineStr">
        <is>
          <t>铝材间接排放因子(kgCO2e/kg)</t>
        </is>
      </c>
      <c r="C10" s="2" t="inlineStr">
        <is>
          <t>kgCO2e/kg</t>
        </is>
      </c>
      <c r="D10" s="6" t="n">
        <v>5</v>
      </c>
    </row>
    <row r="11" ht="27" customHeight="1" s="30">
      <c r="A11" s="2" t="inlineStr">
        <is>
          <t>铝材模块</t>
        </is>
      </c>
      <c r="B11" s="2" t="inlineStr">
        <is>
          <t>铝材总嵌入排放(kgCO2e/申报单元)</t>
        </is>
      </c>
      <c r="C11" s="2" t="inlineStr">
        <is>
          <t>kgCO2e/declared unit</t>
        </is>
      </c>
      <c r="D11" s="6" t="n">
        <v>1120</v>
      </c>
    </row>
    <row r="12">
      <c r="A12" s="2" t="inlineStr">
        <is>
          <t>铝材模块</t>
        </is>
      </c>
      <c r="B12" s="2" t="inlineStr">
        <is>
          <t>铝材核验状态</t>
        </is>
      </c>
      <c r="C12" s="2" t="inlineStr">
        <is>
          <t>文本</t>
        </is>
      </c>
      <c r="D12" s="34" t="inlineStr">
        <is>
          <t>已核验</t>
        </is>
      </c>
    </row>
    <row r="13">
      <c r="A13" s="2" t="inlineStr">
        <is>
          <t>钢材模块</t>
        </is>
      </c>
      <c r="B13" s="2" t="inlineStr">
        <is>
          <t>钢材供应商安装点 ID</t>
        </is>
      </c>
      <c r="C13" s="2" t="inlineStr">
        <is>
          <t>文本</t>
        </is>
      </c>
      <c r="D13" s="34" t="inlineStr">
        <is>
          <t>ST-SUP-001</t>
        </is>
      </c>
    </row>
    <row r="14">
      <c r="A14" s="2" t="inlineStr">
        <is>
          <t>钢材模块</t>
        </is>
      </c>
      <c r="B14" s="2" t="inlineStr">
        <is>
          <t>钢材质量(kg)</t>
        </is>
      </c>
      <c r="C14" s="2" t="inlineStr">
        <is>
          <t>kg</t>
        </is>
      </c>
      <c r="D14" s="6" t="n">
        <v>30</v>
      </c>
    </row>
    <row r="15">
      <c r="A15" s="2" t="inlineStr">
        <is>
          <t>钢材模块</t>
        </is>
      </c>
      <c r="B15" s="2" t="inlineStr">
        <is>
          <t>钢材直接排放因子(kgCO2e/kg)</t>
        </is>
      </c>
      <c r="C15" s="2" t="inlineStr">
        <is>
          <t>kgCO2e/kg</t>
        </is>
      </c>
      <c r="D15" s="6" t="n">
        <v>2</v>
      </c>
    </row>
    <row r="16">
      <c r="A16" s="2" t="inlineStr">
        <is>
          <t>钢材模块</t>
        </is>
      </c>
      <c r="B16" s="2" t="inlineStr">
        <is>
          <t>钢材间接排放因子(kgCO2e/kg)</t>
        </is>
      </c>
      <c r="C16" s="2" t="inlineStr">
        <is>
          <t>kgCO2e/kg</t>
        </is>
      </c>
      <c r="D16" s="6" t="n">
        <v>0.7</v>
      </c>
    </row>
    <row r="17" ht="27" customHeight="1" s="30">
      <c r="A17" s="2" t="inlineStr">
        <is>
          <t>钢材模块</t>
        </is>
      </c>
      <c r="B17" s="2" t="inlineStr">
        <is>
          <t>钢材总嵌入排放(kgCO2e/申报单元)</t>
        </is>
      </c>
      <c r="C17" s="2" t="inlineStr">
        <is>
          <t>kgCO2e/declared unit</t>
        </is>
      </c>
      <c r="D17" s="6" t="n">
        <v>81</v>
      </c>
    </row>
    <row r="18">
      <c r="A18" s="2" t="inlineStr">
        <is>
          <t>钢材模块</t>
        </is>
      </c>
      <c r="B18" s="2" t="inlineStr">
        <is>
          <t>钢材核验状态</t>
        </is>
      </c>
      <c r="C18" s="2" t="inlineStr">
        <is>
          <t>文本</t>
        </is>
      </c>
      <c r="D18" s="34" t="inlineStr">
        <is>
          <t>已核验</t>
        </is>
      </c>
    </row>
    <row r="19" ht="27" customHeight="1" s="30">
      <c r="A19" s="2" t="inlineStr">
        <is>
          <t>汇总</t>
        </is>
      </c>
      <c r="B19" s="2" t="inlineStr">
        <is>
          <t>覆盖材料总嵌入排放(kgCO2e/申报单元)</t>
        </is>
      </c>
      <c r="C19" s="2" t="inlineStr">
        <is>
          <t>kgCO2e/declared unit</t>
        </is>
      </c>
      <c r="D19" s="6" t="n">
        <v>1201</v>
      </c>
    </row>
    <row r="20">
      <c r="A20" s="2" t="inlineStr">
        <is>
          <t>汇总</t>
        </is>
      </c>
      <c r="B20" s="2" t="inlineStr">
        <is>
          <t>覆盖材料占整包总排放比重</t>
        </is>
      </c>
      <c r="C20" s="2" t="inlineStr">
        <is>
          <t>%</t>
        </is>
      </c>
      <c r="D20" s="37" t="n">
        <v>0.3406167028723148</v>
      </c>
    </row>
    <row r="21">
      <c r="A21" s="2" t="inlineStr">
        <is>
          <t>汇总</t>
        </is>
      </c>
      <c r="B21" s="2" t="inlineStr">
        <is>
          <t>供应商 PCF 覆盖率</t>
        </is>
      </c>
      <c r="C21" s="2" t="inlineStr">
        <is>
          <t>%</t>
        </is>
      </c>
      <c r="D21" s="37" t="n">
        <v>0.76</v>
      </c>
    </row>
    <row r="22">
      <c r="A22" s="2" t="inlineStr">
        <is>
          <t>综合状态</t>
        </is>
      </c>
      <c r="B22" s="2" t="inlineStr">
        <is>
          <t>CBAM 兼容输出完备度</t>
        </is>
      </c>
      <c r="C22" s="2" t="inlineStr">
        <is>
          <t>%</t>
        </is>
      </c>
      <c r="D22" s="37" t="n">
        <v>1</v>
      </c>
    </row>
    <row r="23" ht="27" customHeight="1" s="30">
      <c r="A23" s="2" t="inlineStr">
        <is>
          <t>综合状态</t>
        </is>
      </c>
      <c r="B23" s="2" t="inlineStr">
        <is>
          <t>CBAM 兼容输出结论</t>
        </is>
      </c>
      <c r="C23" s="2" t="inlineStr">
        <is>
          <t>文本</t>
        </is>
      </c>
      <c r="D23" s="34" t="inlineStr">
        <is>
          <t>可作为上游碳数据通用兼容模块示例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:D23"/>
  <mergeCells count="1">
    <mergeCell ref="A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24" customWidth="1" style="30" min="1" max="2"/>
    <col width="18" customWidth="1" style="30" min="3" max="3"/>
    <col width="24" customWidth="1" style="30" min="4" max="4"/>
    <col width="22" customWidth="1" style="30" min="5" max="5"/>
    <col width="24" customWidth="1" style="30" min="6" max="6"/>
    <col width="34" customWidth="1" style="30" min="7" max="7"/>
    <col width="20" customWidth="1" style="30" min="8" max="8"/>
    <col width="28" customWidth="1" style="30" min="9" max="9"/>
  </cols>
  <sheetData>
    <row r="1">
      <c r="A1" s="32" t="inlineStr">
        <is>
          <t>CATL 现有公开披露架构与拆分判断表</t>
        </is>
      </c>
      <c r="B1" s="27" t="n"/>
      <c r="C1" s="27" t="n"/>
      <c r="D1" s="27" t="n"/>
      <c r="E1" s="27" t="n"/>
      <c r="F1" s="27" t="n"/>
      <c r="G1" s="27" t="n"/>
      <c r="H1" s="27" t="n"/>
      <c r="I1" s="28" t="n"/>
    </row>
    <row r="2">
      <c r="A2" s="34" t="inlineStr">
        <is>
          <t>用途：把宁德时代现有公开披露资料拆成“哪些可以直接引用、哪些必须进一步拆分成 model/plant/supplier/material 级数据”。</t>
        </is>
      </c>
      <c r="B2" s="27" t="n"/>
      <c r="C2" s="27" t="n"/>
      <c r="D2" s="27" t="n"/>
      <c r="E2" s="27" t="n"/>
      <c r="F2" s="27" t="n"/>
      <c r="G2" s="27" t="n"/>
      <c r="H2" s="27" t="n"/>
      <c r="I2" s="28" t="n"/>
    </row>
    <row r="3" ht="27" customHeight="1" s="30">
      <c r="A3" s="1" t="inlineStr">
        <is>
          <t>主要来源</t>
        </is>
      </c>
      <c r="B3" s="1" t="inlineStr">
        <is>
          <t>CATL 当前公开披露架构</t>
        </is>
      </c>
      <c r="C3" s="1" t="inlineStr">
        <is>
          <t>当前公开对象/粒度</t>
        </is>
      </c>
      <c r="D3" s="1" t="inlineStr">
        <is>
          <t>当前公开示例</t>
        </is>
      </c>
      <c r="E3" s="1" t="inlineStr">
        <is>
          <t>在我们系统中的角色</t>
        </is>
      </c>
      <c r="F3" s="1" t="inlineStr">
        <is>
          <t>可以直接引用什么</t>
        </is>
      </c>
      <c r="G3" s="1" t="inlineStr">
        <is>
          <t>必须拆分成什么明细数据</t>
        </is>
      </c>
      <c r="H3" s="1" t="inlineStr">
        <is>
          <t>更适合进入哪一层映射</t>
        </is>
      </c>
      <c r="I3" s="1" t="inlineStr">
        <is>
          <t>判断</t>
        </is>
      </c>
    </row>
    <row r="4" ht="40.5" customHeight="1" s="30">
      <c r="A4" s="2" t="inlineStr">
        <is>
          <t>2025 ESG 报告；2025 港股上市文件</t>
        </is>
      </c>
      <c r="B4" s="2" t="inlineStr">
        <is>
          <t>公司基本身份与业务范围</t>
        </is>
      </c>
      <c r="C4" s="2" t="inlineStr">
        <is>
          <t>公司/entity 级</t>
        </is>
      </c>
      <c r="D4" s="2" t="inlineStr">
        <is>
          <t>公司名称、主营业务、全球零碳新能源科技公司定位、业务范围</t>
        </is>
      </c>
      <c r="E4" s="2" t="inlineStr">
        <is>
          <t>作为系统最外层的公司身份锚点</t>
        </is>
      </c>
      <c r="F4" s="2" t="inlineStr">
        <is>
          <t>制造商名称、公司简介、业务范围、总部与联系方式</t>
        </is>
      </c>
      <c r="G4" s="2" t="inlineStr">
        <is>
          <t>电池型号代码、产品类别、化学体系、具体 demo 产品名</t>
        </is>
      </c>
      <c r="H4" s="2" t="inlineStr">
        <is>
          <t>字段映射</t>
        </is>
      </c>
      <c r="I4" s="2" t="inlineStr">
        <is>
          <t>公司级字段可直接引用，但不能替代产品主数据</t>
        </is>
      </c>
    </row>
    <row r="5" ht="40.5" customHeight="1" s="30">
      <c r="A5" s="2" t="inlineStr">
        <is>
          <t>2025 ESG 报告“全球布局”；2023 碳排放核算报告表 1</t>
        </is>
      </c>
      <c r="B5" s="2" t="inlineStr">
        <is>
          <t>全球布局与生产基地清单</t>
        </is>
      </c>
      <c r="C5" s="2" t="inlineStr">
        <is>
          <t>公司/子公司/基地级</t>
        </is>
      </c>
      <c r="D5" s="2" t="inlineStr">
        <is>
          <t>江苏时代、四川时代、福鼎时代、图林根时代等名单</t>
        </is>
      </c>
      <c r="E5" s="2" t="inlineStr">
        <is>
          <t>可作为 plant 候选池和试点工厂来源</t>
        </is>
      </c>
      <c r="F5" s="2" t="inlineStr">
        <is>
          <t>基地名称、基地名单、核心运营范围</t>
        </is>
      </c>
      <c r="G5" s="2" t="inlineStr">
        <is>
          <t>manufacturing plant code、plant-country、plant-to-model 绑定关系、对应报告期</t>
        </is>
      </c>
      <c r="H5" s="2" t="inlineStr">
        <is>
          <t>字段映射 + 证据映射</t>
        </is>
      </c>
      <c r="I5" s="2" t="inlineStr">
        <is>
          <t>可部分引用，但必须从“基地名”继续拆到“具体制造工厂代码和产品绑定”</t>
        </is>
      </c>
    </row>
    <row r="6" ht="40.5" customHeight="1" s="30">
      <c r="A6" s="2" t="inlineStr">
        <is>
          <t>2025 ESG 报告“报告范围”；2022/2023 碳排放核算报告</t>
        </is>
      </c>
      <c r="B6" s="2" t="inlineStr">
        <is>
          <t>合并报表范围、组织边界与运营控制权法</t>
        </is>
      </c>
      <c r="C6" s="2" t="inlineStr">
        <is>
          <t>公司/group 级方法说明</t>
        </is>
      </c>
      <c r="D6" s="2" t="inlineStr">
        <is>
          <t>与合并财务报表范围一致；运营控制权法；核心运营范围</t>
        </is>
      </c>
      <c r="E6" s="2" t="inlineStr">
        <is>
          <t>作为边界说明和方法论底稿</t>
        </is>
      </c>
      <c r="F6" s="2" t="inlineStr">
        <is>
          <t>边界选择逻辑、组织边界说明</t>
        </is>
      </c>
      <c r="G6" s="2" t="inlineStr">
        <is>
          <t>battery model + manufacturing plant 的产品系统边界、纳入/排除逻辑、单产品声明周期</t>
        </is>
      </c>
      <c r="H6" s="2" t="inlineStr">
        <is>
          <t>字段映射 + 证据映射</t>
        </is>
      </c>
      <c r="I6" s="2" t="inlineStr">
        <is>
          <t>适合作为方法论底稿，不适合直接当成 EU 产品边界输出</t>
        </is>
      </c>
    </row>
    <row r="7" ht="40.5" customHeight="1" s="30">
      <c r="A7" s="2" t="inlineStr">
        <is>
          <t>2025 ESG 报告第 2 章</t>
        </is>
      </c>
      <c r="B7" s="2" t="inlineStr">
        <is>
          <t>可持续治理、CSMC、双重重要性与尽职调查架构</t>
        </is>
      </c>
      <c r="C7" s="2" t="inlineStr">
        <is>
          <t>公司治理级</t>
        </is>
      </c>
      <c r="D7" s="2" t="inlineStr">
        <is>
          <t>CSMC、理事会、ESG 专员、双重重要性、尽职调查流程</t>
        </is>
      </c>
      <c r="E7" s="2" t="inlineStr">
        <is>
          <t>用于证明公司具备治理基础</t>
        </is>
      </c>
      <c r="F7" s="2" t="inlineStr">
        <is>
          <t>尽调政策链接、治理架构说明、责任部门设置</t>
        </is>
      </c>
      <c r="G7" s="2" t="inlineStr">
        <is>
          <t>字段 owner、证据 owner、审批链、对外披露与监管查看的权限矩阵</t>
        </is>
      </c>
      <c r="H7" s="2" t="inlineStr">
        <is>
          <t>核验映射 + 权限映射</t>
        </is>
      </c>
      <c r="I7" s="2" t="inlineStr">
        <is>
          <t>治理叙事可直接用作背景，但真正报送时仍需拆成字段责任链</t>
        </is>
      </c>
    </row>
    <row r="8" ht="54" customHeight="1" s="30">
      <c r="A8" s="2" t="inlineStr">
        <is>
          <t>2025 ESG 报告“零碳领航”章节</t>
        </is>
      </c>
      <c r="B8" s="2" t="inlineStr">
        <is>
          <t>零碳战略与核心运营碳中和成果</t>
        </is>
      </c>
      <c r="C8" s="2" t="inlineStr">
        <is>
          <t>公司/core operations 级</t>
        </is>
      </c>
      <c r="D8" s="2" t="inlineStr">
        <is>
          <t>2025 核心运营碳中和、2035 价值链碳中和、9 座零碳工厂、100%核心运营零碳电力</t>
        </is>
      </c>
      <c r="E8" s="2" t="inlineStr">
        <is>
          <t>作为外部说服力与战略锚点</t>
        </is>
      </c>
      <c r="F8" s="2" t="inlineStr">
        <is>
          <t>目标年份、零碳工厂数量、核心运营零碳电力比例</t>
        </is>
      </c>
      <c r="G8" s="2" t="inlineStr">
        <is>
          <t>每座工厂的认证证书编号、认证范围、有效期、核查方法、工厂级电力结构</t>
        </is>
      </c>
      <c r="H8" s="2" t="inlineStr">
        <is>
          <t>证据映射 + 核验映射</t>
        </is>
      </c>
      <c r="I8" s="2" t="inlineStr">
        <is>
          <t>战略目标能直接引用，但认证证据必须拆到 plant 级</t>
        </is>
      </c>
    </row>
    <row r="9" ht="40.5" customHeight="1" s="30">
      <c r="A9" s="2" t="inlineStr">
        <is>
          <t>2025 ESG 数据表；2023 ESG 报告；2023 碳排放核算报告</t>
        </is>
      </c>
      <c r="B9" s="2" t="inlineStr">
        <is>
          <t>年度 ESG 量化指标中的范围一/二/总量数据</t>
        </is>
      </c>
      <c r="C9" s="2" t="inlineStr">
        <is>
          <t>公司级年度总量</t>
        </is>
      </c>
      <c r="D9" s="2" t="inlineStr">
        <is>
          <t>Total Scope 1 / Scope 2 / total GHG emissions</t>
        </is>
      </c>
      <c r="E9" s="2" t="inlineStr">
        <is>
          <t>适合作为企业级碳管理基线</t>
        </is>
      </c>
      <c r="F9" s="2" t="inlineStr">
        <is>
          <t>公司年度范围一/二/总量、趋势变化</t>
        </is>
      </c>
      <c r="G9" s="2" t="inlineStr">
        <is>
          <t>plant 级范围一/二、工艺分摊逻辑、model 级 kgCO2e/declared unit 与 kgCO2e/kWh</t>
        </is>
      </c>
      <c r="H9" s="2" t="inlineStr">
        <is>
          <t>字段映射 + 证据映射</t>
        </is>
      </c>
      <c r="I9" s="2" t="inlineStr">
        <is>
          <t>不能直接拿去填欧盟电池法或 CBAM 输出，只能作为上层基线</t>
        </is>
      </c>
    </row>
    <row r="10" ht="54" customHeight="1" s="30">
      <c r="A10" s="2" t="inlineStr">
        <is>
          <t>2023 碳排放核算报告表 2、表 3；2022 Carbon Accounting Report Table 2、3</t>
        </is>
      </c>
      <c r="B10" s="2" t="inlineStr">
        <is>
          <t>碳核算报告中的排放分类与活动数据来源</t>
        </is>
      </c>
      <c r="C10" s="2" t="inlineStr">
        <is>
          <t>组织级方法 + 数据源家族</t>
        </is>
      </c>
      <c r="D10" s="2" t="inlineStr">
        <is>
          <t>天然气、电力、蒸汽、ERP 采购量、物流供应商数据、差旅系统、员工通勤问卷</t>
        </is>
      </c>
      <c r="E10" s="2" t="inlineStr">
        <is>
          <t>这是最适合转成输入模板的数据骨架</t>
        </is>
      </c>
      <c r="F10" s="2" t="inlineStr">
        <is>
          <t>排放源类别、活动数据来源、核算因子来源</t>
        </is>
      </c>
      <c r="G10" s="2" t="inlineStr">
        <is>
          <t>每个 plant 每个 model 的能耗、物料、运输、供应商 PCF、报告期、证据文件编号</t>
        </is>
      </c>
      <c r="H10" s="2" t="inlineStr">
        <is>
          <t>证据映射</t>
        </is>
      </c>
      <c r="I10" s="2" t="inlineStr">
        <is>
          <t>这部分非常有价值，但必须从“数据家族”拆成“单字段输入项”</t>
        </is>
      </c>
    </row>
    <row r="11" ht="40.5" customHeight="1" s="30">
      <c r="A11" s="2" t="inlineStr">
        <is>
          <t>2023 碳排放核算报告表 4、表 5</t>
        </is>
      </c>
      <c r="B11" s="2" t="inlineStr">
        <is>
          <t>按公司及子公司划分的排放占比与核查覆盖</t>
        </is>
      </c>
      <c r="C11" s="2" t="inlineStr">
        <is>
          <t>子公司/基地级</t>
        </is>
      </c>
      <c r="D11" s="2" t="inlineStr">
        <is>
          <t>按子公司占比展示排放；15 家核查主体约覆盖 97% 核心运营排放</t>
        </is>
      </c>
      <c r="E11" s="2" t="inlineStr">
        <is>
          <t>适合帮助选 pilot plant</t>
        </is>
      </c>
      <c r="F11" s="2" t="inlineStr">
        <is>
          <t>高排放基地优先级、哪些基地已核查</t>
        </is>
      </c>
      <c r="G11" s="2" t="inlineStr">
        <is>
          <t>具体工厂的绝对排放值、分产品产量、单位产量排放、与 demo 产品的绑定关系</t>
        </is>
      </c>
      <c r="H11" s="2" t="inlineStr">
        <is>
          <t>证据映射 + 核验映射</t>
        </is>
      </c>
      <c r="I11" s="2" t="inlineStr">
        <is>
          <t>可部分引用，但“占比图”不能替代工厂级报送字段</t>
        </is>
      </c>
    </row>
    <row r="12" ht="40.5" customHeight="1" s="30">
      <c r="A12" s="2" t="inlineStr">
        <is>
          <t>2022 Carbon Accounting Report</t>
        </is>
      </c>
      <c r="B12" s="2" t="inlineStr">
        <is>
          <t>按产品类型划分的排放占比</t>
        </is>
      </c>
      <c r="C12" s="2" t="inlineStr">
        <is>
          <t>产品类型级（cell/module/pack/others）</t>
        </is>
      </c>
      <c r="D12" s="2" t="inlineStr">
        <is>
          <t>Scope 1 + Scope 2 emissions by product type</t>
        </is>
      </c>
      <c r="E12" s="2" t="inlineStr">
        <is>
          <t>说明 CATL 已有产品类型视角</t>
        </is>
      </c>
      <c r="F12" s="2" t="inlineStr">
        <is>
          <t>cell/module/pack 这种粗分口径</t>
        </is>
      </c>
      <c r="G12" s="2" t="inlineStr">
        <is>
          <t>具体 pack 型号、BOM、pack capacity、具体产品声明周期</t>
        </is>
      </c>
      <c r="H12" s="2" t="inlineStr">
        <is>
          <t>字段映射</t>
        </is>
      </c>
      <c r="I12" s="2" t="inlineStr">
        <is>
          <t>可作为过渡桥梁，但仍远不足以直接形成电池护照字段</t>
        </is>
      </c>
    </row>
    <row r="13" ht="54" customHeight="1" s="30">
      <c r="A13" s="2" t="inlineStr">
        <is>
          <t>2025 ESG 报告“供应链管理”章节</t>
        </is>
      </c>
      <c r="B13" s="2" t="inlineStr">
        <is>
          <t>供应商行为准则、可持续发展协议、负责任矿产政策</t>
        </is>
      </c>
      <c r="C13" s="2" t="inlineStr">
        <is>
          <t>政策/协议级</t>
        </is>
      </c>
      <c r="D13" s="2" t="inlineStr">
        <is>
          <t>100% 供应商签署《供应商行为准则》；关键供应商《可持续发展协议》签署率 100%</t>
        </is>
      </c>
      <c r="E13" s="2" t="inlineStr">
        <is>
          <t>直接支撑 due diligence 公开层</t>
        </is>
      </c>
      <c r="F13" s="2" t="inlineStr">
        <is>
          <t>政策链接、协议覆盖率、覆盖议题清单</t>
        </is>
      </c>
      <c r="G13" s="2" t="inlineStr">
        <is>
          <t>按供应商、按物料、按工厂的协议编号、有效期、签署状态、尽调结果</t>
        </is>
      </c>
      <c r="H13" s="2" t="inlineStr">
        <is>
          <t>证据映射 + 核验映射</t>
        </is>
      </c>
      <c r="I13" s="2" t="inlineStr">
        <is>
          <t>政策类内容可直接引用，但不能替代供应商级证据</t>
        </is>
      </c>
    </row>
    <row r="14" ht="54" customHeight="1" s="30">
      <c r="A14" s="2" t="inlineStr">
        <is>
          <t>2025 ESG 报告；2024 ESG 报告</t>
        </is>
      </c>
      <c r="B14" s="2" t="inlineStr">
        <is>
          <t>CREDIT 价值链可持续透明度审核</t>
        </is>
      </c>
      <c r="C14" s="2" t="inlineStr">
        <is>
          <t>供应商审核框架级</t>
        </is>
      </c>
      <c r="D14" s="2" t="inlineStr">
        <is>
          <t>31 个二级指标、114 个三级指标；2025 年审核 60 家核心供应商；2024 年审核 82 家</t>
        </is>
      </c>
      <c r="E14" s="2" t="inlineStr">
        <is>
          <t>最适合作为 supplier assurance 骨架</t>
        </is>
      </c>
      <c r="F14" s="2" t="inlineStr">
        <is>
          <t>审核框架存在、审核覆盖范围、供应商合格率</t>
        </is>
      </c>
      <c r="G14" s="2" t="inlineStr">
        <is>
          <t>每家供应商的审核结果、整改计划、关闭日期、材料覆盖、site 级 findings</t>
        </is>
      </c>
      <c r="H14" s="2" t="inlineStr">
        <is>
          <t>核验映射 + 证据映射</t>
        </is>
      </c>
      <c r="I14" s="2" t="inlineStr">
        <is>
          <t>可作为核验逻辑直接借用，但真正输出要拆到 supplier/site/material 级</t>
        </is>
      </c>
    </row>
    <row r="15" ht="40.5" customHeight="1" s="30">
      <c r="A15" s="2" t="inlineStr">
        <is>
          <t>2025 ESG 报告“供应链合规溯源”章节；2024 ESG 报告</t>
        </is>
      </c>
      <c r="B15" s="2" t="inlineStr">
        <is>
          <t>内部溯源 + 外部溯源架构</t>
        </is>
      </c>
      <c r="C15" s="2" t="inlineStr">
        <is>
          <t>供应链/流程级</t>
        </is>
      </c>
      <c r="D15" s="2" t="inlineStr">
        <is>
          <t>原材料采购、生产制造、包装、内部物流、外部供应链地图</t>
        </is>
      </c>
      <c r="E15" s="2" t="inlineStr">
        <is>
          <t>最适合作为 traceability 架构说明</t>
        </is>
      </c>
      <c r="F15" s="2" t="inlineStr">
        <is>
          <t>公司已有内外溯源体系、供应链地图、客户需求前置收集</t>
        </is>
      </c>
      <c r="G15" s="2" t="inlineStr">
        <is>
          <t>lot/batch/serial、材料来源地、矿山/精炼厂/加工厂、产品 genealogy</t>
        </is>
      </c>
      <c r="H15" s="2" t="inlineStr">
        <is>
          <t>字段映射 + 证据映射 + 权限映射</t>
        </is>
      </c>
      <c r="I15" s="2" t="inlineStr">
        <is>
          <t>结构可以直接讲，但必须拆成 lot-to-model-to-plant 数据链</t>
        </is>
      </c>
    </row>
    <row r="16" ht="54" customHeight="1" s="30">
      <c r="A16" s="2" t="inlineStr">
        <is>
          <t>2024 ESG 报告；2025 ESG 报告</t>
        </is>
      </c>
      <c r="B16" s="2" t="inlineStr">
        <is>
          <t>时代碳链平台与产品/原材料碳足迹数据库</t>
        </is>
      </c>
      <c r="C16" s="2" t="inlineStr">
        <is>
          <t>平台/数据库级</t>
        </is>
      </c>
      <c r="D16" s="2" t="inlineStr">
        <is>
          <t>产品及原材料模型超 800 款；覆盖 130 余家供应商、40 余种物料；正负极供应商数据覆盖率达 100%</t>
        </is>
      </c>
      <c r="E16" s="2" t="inlineStr">
        <is>
          <t>这是最贴近我们映射系统内核的一层</t>
        </is>
      </c>
      <c r="F16" s="2" t="inlineStr">
        <is>
          <t>平台存在、模型数量、供应商覆盖率、材料覆盖范围</t>
        </is>
      </c>
      <c r="G16" s="2" t="inlineStr">
        <is>
          <t>每个 supplier-material 的 PCF 值、版本号、方法学版本、报告期、核验状态、保密层级</t>
        </is>
      </c>
      <c r="H16" s="2" t="inlineStr">
        <is>
          <t>字段映射 + 证据映射 + 权限映射</t>
        </is>
      </c>
      <c r="I16" s="2" t="inlineStr">
        <is>
          <t>可以直接证明 CATL 不是从零开始，但离正式欧盟输出还差最后一层精细结构</t>
        </is>
      </c>
    </row>
    <row r="17" ht="54" customHeight="1" s="30">
      <c r="A17" s="2" t="inlineStr">
        <is>
          <t>2025 ESG 报告“应对气候变化”章节；2024 ESG 报告</t>
        </is>
      </c>
      <c r="B17" s="2" t="inlineStr">
        <is>
          <t>低碳材料、原材料碳足迹与供应商绿电比例</t>
        </is>
      </c>
      <c r="C17" s="2" t="inlineStr">
        <is>
          <t>材料/供应链级</t>
        </is>
      </c>
      <c r="D17" s="2" t="inlineStr">
        <is>
          <t>正负极材料碳足迹整体下降；铝制品、铜制品、正负极供应商零碳电力比例</t>
        </is>
      </c>
      <c r="E17" s="2" t="inlineStr">
        <is>
          <t>适合作为上游减碳成果和热点识别</t>
        </is>
      </c>
      <c r="F17" s="2" t="inlineStr">
        <is>
          <t>材料降碳趋势、供应商零碳电力比例</t>
        </is>
      </c>
      <c r="G17" s="2" t="inlineStr">
        <is>
          <t>每个 supplier installation 的直接/间接排放、绿电证据、material PCF、报告期</t>
        </is>
      </c>
      <c r="H17" s="2" t="inlineStr">
        <is>
          <t>字段映射 + 证据映射</t>
        </is>
      </c>
      <c r="I17" s="2" t="inlineStr">
        <is>
          <t>趋势值可直接讲，报送值必须拆成 supplier/material/installation 级</t>
        </is>
      </c>
    </row>
    <row r="18" ht="54" customHeight="1" s="30">
      <c r="A18" s="2" t="inlineStr">
        <is>
          <t>2024 ESG 报告“电池护照试点”案例；GBA 试点资料</t>
        </is>
      </c>
      <c r="B18" s="2" t="inlineStr">
        <is>
          <t>电池护照试点、EPD 与标准参与</t>
        </is>
      </c>
      <c r="C18" s="2" t="inlineStr">
        <is>
          <t>产品试点/案例级</t>
        </is>
      </c>
      <c r="D18" s="2" t="inlineStr">
        <is>
          <t>神行电池、CTP 电池参与 GBA 电池护照试点；3 款电芯通过 EPD Italy</t>
        </is>
      </c>
      <c r="E18" s="2" t="inlineStr">
        <is>
          <t>最适合证明 CATL 已经具备产品级试点经验</t>
        </is>
      </c>
      <c r="F18" s="2" t="inlineStr">
        <is>
          <t>试点参与事实、案例名称、公开的 HMA 量级、标准参与经历</t>
        </is>
      </c>
      <c r="G18" s="2" t="inlineStr">
        <is>
          <t>正式 battery model 字段、passport access layers、technical documentation、test reports、individual battery data</t>
        </is>
      </c>
      <c r="H18" s="2" t="inlineStr">
        <is>
          <t>字段映射 + 证据映射 + 权限映射</t>
        </is>
      </c>
      <c r="I18" s="2" t="inlineStr">
        <is>
          <t>可作为外部说服力，但正式欧盟合规仍需把试点经验变成稳定字段体系</t>
        </is>
      </c>
    </row>
    <row r="19" ht="40.5" customHeight="1" s="30">
      <c r="A19" s="2" t="inlineStr">
        <is>
          <t>2024 ESG 报告；2025 ESG 报告</t>
        </is>
      </c>
      <c r="B19" s="2" t="inlineStr">
        <is>
          <t>产品全链条数据追溯系统与质量数智化系统</t>
        </is>
      </c>
      <c r="C19" s="2" t="inlineStr">
        <is>
          <t>产品/流程/质量系统级</t>
        </is>
      </c>
      <c r="D19" s="2" t="inlineStr">
        <is>
          <t>产品全链条数据追溯系统、质量活动追溯系统、全场景数据监控分析系统</t>
        </is>
      </c>
      <c r="E19" s="2" t="inlineStr">
        <is>
          <t>是个体电池层和受限护照层的重要潜在来源</t>
        </is>
      </c>
      <c r="F19" s="2" t="inlineStr">
        <is>
          <t>产品追溯系统存在、质量事件可追溯、数据链条已打通</t>
        </is>
      </c>
      <c r="G19" s="2" t="inlineStr">
        <is>
          <t>individual battery identifier、生产谱系、售后 SoH、维修/再利用/回收记录</t>
        </is>
      </c>
      <c r="H19" s="2" t="inlineStr">
        <is>
          <t>字段映射 + 权限映射</t>
        </is>
      </c>
      <c r="I19" s="2" t="inlineStr">
        <is>
          <t>系统能力可直接承认，但字段还需要按护照结构重组</t>
        </is>
      </c>
    </row>
    <row r="20" ht="54" customHeight="1" s="30">
      <c r="A20" s="2" t="inlineStr">
        <is>
          <t>2025 ESG 报告“鉴证声明”；2023/2022 碳排放核算报告附录</t>
        </is>
      </c>
      <c r="B20" s="2" t="inlineStr">
        <is>
          <t>鉴证声明与第三方核查声明</t>
        </is>
      </c>
      <c r="C20" s="2" t="inlineStr">
        <is>
          <t>报告/证书级</t>
        </is>
      </c>
      <c r="D20" s="2" t="inlineStr">
        <is>
          <t>ISO 14064 核查声明、PAS 2060/ISO 14068 类认证、ESG 鉴证声明</t>
        </is>
      </c>
      <c r="E20" s="2" t="inlineStr">
        <is>
          <t>用于说明哪些数据已经过独立验证</t>
        </is>
      </c>
      <c r="F20" s="2" t="inlineStr">
        <is>
          <t>鉴证声明存在、核查标准、核查对象范围</t>
        </is>
      </c>
      <c r="G20" s="2" t="inlineStr">
        <is>
          <t>字段级 assurance tag、哪些字段是 internally controlled、哪些字段 verifier-ready、哪些需要 NB-facing evidence</t>
        </is>
      </c>
      <c r="H20" s="2" t="inlineStr">
        <is>
          <t>核验映射</t>
        </is>
      </c>
      <c r="I20" s="2" t="inlineStr">
        <is>
          <t>证书可以直接作为可信度加分项，但不能自动覆盖所有目标字段</t>
        </is>
      </c>
    </row>
    <row r="21" ht="81" customHeight="1" s="30">
      <c r="A21" s="2" t="inlineStr">
        <is>
          <t>2025 港股上市文件/招股书</t>
        </is>
      </c>
      <c r="B21" s="2" t="inlineStr">
        <is>
          <t>资本市场口径的可持续叙事与监管回应</t>
        </is>
      </c>
      <c r="C21" s="2" t="inlineStr">
        <is>
          <t>资本市场 narrative 级</t>
        </is>
      </c>
      <c r="D21" s="2" t="inlineStr">
        <is>
          <t>Our Sustainability Initiatives；EU Battery Regulation、digital battery passport、critical raw materials 风险与机会</t>
        </is>
      </c>
      <c r="E21" s="2" t="inlineStr">
        <is>
          <t>适合作为比赛里“为什么 CATL 现在必须做这个系统”的外部背景</t>
        </is>
      </c>
      <c r="F21" s="2" t="inlineStr">
        <is>
          <t>监管压力、市场机会、公司对外承诺、行业定位</t>
        </is>
      </c>
      <c r="G21" s="2" t="inlineStr">
        <is>
          <t>几乎不提供可直接报送的 model/plant 级数据</t>
        </is>
      </c>
      <c r="H21" s="2" t="inlineStr">
        <is>
          <t>背景层，不直接进入四层映射主计算</t>
        </is>
      </c>
      <c r="I21" s="2" t="inlineStr">
        <is>
          <t>很适合放在 PPT 前半段，但不建议直接拿来填输出字段</t>
        </is>
      </c>
    </row>
  </sheetData>
  <autoFilter ref="A3:I21"/>
  <mergeCells count="2">
    <mergeCell ref="A1:I1"/>
    <mergeCell ref="A2:I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4" customWidth="1" style="30" min="1" max="1"/>
    <col width="24" customWidth="1" style="30" min="2" max="2"/>
    <col width="18" customWidth="1" style="30" min="3" max="3"/>
    <col width="16" customWidth="1" style="30" min="4" max="4"/>
    <col width="10" customWidth="1" style="30" min="5" max="5"/>
    <col width="18" customWidth="1" style="30" min="6" max="6"/>
    <col width="20" customWidth="1" style="30" min="7" max="7"/>
    <col width="18" customWidth="1" style="30" min="8" max="8"/>
    <col width="14" customWidth="1" style="30" min="9" max="9"/>
    <col width="12" customWidth="1" style="30" min="10" max="10"/>
    <col width="18" customWidth="1" style="30" min="11" max="12"/>
    <col width="26" customWidth="1" style="30" min="13" max="13"/>
    <col width="14" customWidth="1" style="30" min="14" max="14"/>
    <col width="24" customWidth="1" style="30" min="15" max="15"/>
  </cols>
  <sheetData>
    <row r="1">
      <c r="A1" s="33" t="inlineStr">
        <is>
          <t>字段字典：把每个输入字段背后的治理信息写清楚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3" t="n"/>
    </row>
    <row r="2">
      <c r="A2" s="24" t="inlineStr">
        <is>
          <t>这个 Sheet 是整个工作簿的元数据中心。01_手动输入右侧的治理列全部从这里自动带出。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3" t="n"/>
    </row>
    <row r="3">
      <c r="A3" s="8" t="inlineStr">
        <is>
          <t>原类别</t>
        </is>
      </c>
      <c r="B3" s="8" t="inlineStr">
        <is>
          <t>字段代码</t>
        </is>
      </c>
      <c r="C3" s="8" t="inlineStr">
        <is>
          <t>中文字段名</t>
        </is>
      </c>
      <c r="D3" s="8" t="inlineStr">
        <is>
          <t>字段数据类型</t>
        </is>
      </c>
      <c r="E3" s="8" t="inlineStr">
        <is>
          <t>是否必填</t>
        </is>
      </c>
      <c r="F3" s="8" t="inlineStr">
        <is>
          <t>录入方式</t>
        </is>
      </c>
      <c r="G3" s="8" t="inlineStr">
        <is>
          <t>建议来源系统</t>
        </is>
      </c>
      <c r="H3" s="8" t="inlineStr">
        <is>
          <t>字段责任人</t>
        </is>
      </c>
      <c r="I3" s="8" t="inlineStr">
        <is>
          <t>保密等级</t>
        </is>
      </c>
      <c r="J3" s="8" t="inlineStr">
        <is>
          <t>校验规则ID</t>
        </is>
      </c>
      <c r="K3" s="8" t="inlineStr">
        <is>
          <t>缺口状态</t>
        </is>
      </c>
      <c r="L3" s="8" t="inlineStr">
        <is>
          <t>可直接复用CATL公开披露?</t>
        </is>
      </c>
      <c r="M3" s="8" t="inlineStr">
        <is>
          <t>下一步动作</t>
        </is>
      </c>
      <c r="N3" s="8" t="inlineStr">
        <is>
          <t>主要影响输出</t>
        </is>
      </c>
      <c r="O3" s="8" t="inlineStr">
        <is>
          <t>当前字段说明</t>
        </is>
      </c>
    </row>
    <row r="4" ht="27" customHeight="1" s="30">
      <c r="A4" s="9" t="inlineStr">
        <is>
          <t>A. 基本身份</t>
        </is>
      </c>
      <c r="B4" s="9" t="inlineStr">
        <is>
          <t>manufacturer_name</t>
        </is>
      </c>
      <c r="C4" s="9" t="inlineStr">
        <is>
          <t>制造商名称</t>
        </is>
      </c>
      <c r="D4" s="9" t="inlineStr">
        <is>
          <t>文本</t>
        </is>
      </c>
      <c r="E4" s="10" t="inlineStr">
        <is>
          <t>是</t>
        </is>
      </c>
      <c r="F4" s="9" t="inlineStr">
        <is>
          <t>主数据人工确认</t>
        </is>
      </c>
      <c r="G4" s="9" t="inlineStr">
        <is>
          <t>PLM/主数据系统</t>
        </is>
      </c>
      <c r="H4" s="9" t="inlineStr">
        <is>
          <t>产品主数据团队</t>
        </is>
      </c>
      <c r="I4" s="9" t="inlineStr">
        <is>
          <t>公开或低敏</t>
        </is>
      </c>
      <c r="J4" s="9" t="inlineStr">
        <is>
          <t>VAL-001</t>
        </is>
      </c>
      <c r="K4" s="10" t="inlineStr">
        <is>
          <t>可直接复用</t>
        </is>
      </c>
      <c r="L4" s="10" t="inlineStr">
        <is>
          <t>可直接引用</t>
        </is>
      </c>
      <c r="M4" s="9" t="inlineStr">
        <is>
          <t>补安装点ID、核验报告和访问权限控制</t>
        </is>
      </c>
      <c r="N4" s="9" t="inlineStr">
        <is>
          <t>EU+CBAM</t>
        </is>
      </c>
      <c r="O4" s="9" t="inlineStr">
        <is>
          <t>公司主体识别字段</t>
        </is>
      </c>
    </row>
    <row r="5" ht="40.5" customHeight="1" s="30">
      <c r="A5" s="9" t="inlineStr">
        <is>
          <t>A. 基本身份</t>
        </is>
      </c>
      <c r="B5" s="9" t="inlineStr">
        <is>
          <t>product_name</t>
        </is>
      </c>
      <c r="C5" s="9" t="inlineStr">
        <is>
          <t>产品名称</t>
        </is>
      </c>
      <c r="D5" s="9" t="inlineStr">
        <is>
          <t>文本</t>
        </is>
      </c>
      <c r="E5" s="10" t="inlineStr">
        <is>
          <t>是</t>
        </is>
      </c>
      <c r="F5" s="9" t="inlineStr">
        <is>
          <t>主数据人工确认</t>
        </is>
      </c>
      <c r="G5" s="9" t="inlineStr">
        <is>
          <t>PLM/主数据系统</t>
        </is>
      </c>
      <c r="H5" s="9" t="inlineStr">
        <is>
          <t>产品主数据团队</t>
        </is>
      </c>
      <c r="I5" s="9" t="inlineStr">
        <is>
          <t>公开或低敏</t>
        </is>
      </c>
      <c r="J5" s="9" t="inlineStr">
        <is>
          <t>VAL-001</t>
        </is>
      </c>
      <c r="K5" s="20" t="inlineStr">
        <is>
          <t>需拆分到产品/工厂级</t>
        </is>
      </c>
      <c r="L5" s="20" t="inlineStr">
        <is>
          <t>部分可引用</t>
        </is>
      </c>
      <c r="M5" s="9" t="inlineStr">
        <is>
          <t>补安装点ID、核验报告和访问权限控制</t>
        </is>
      </c>
      <c r="N5" s="9" t="inlineStr">
        <is>
          <t>EU</t>
        </is>
      </c>
      <c r="O5" s="9" t="inlineStr">
        <is>
          <t>用于任意 CATL 电池产品的模板名称，而非固定神行案例</t>
        </is>
      </c>
    </row>
    <row r="6" ht="27" customHeight="1" s="30">
      <c r="A6" s="9" t="inlineStr">
        <is>
          <t>A. 基本身份</t>
        </is>
      </c>
      <c r="B6" s="9" t="inlineStr">
        <is>
          <t>model_code</t>
        </is>
      </c>
      <c r="C6" s="9" t="inlineStr">
        <is>
          <t>电池型号代码</t>
        </is>
      </c>
      <c r="D6" s="9" t="inlineStr">
        <is>
          <t>标识符文本</t>
        </is>
      </c>
      <c r="E6" s="10" t="inlineStr">
        <is>
          <t>是</t>
        </is>
      </c>
      <c r="F6" s="9" t="inlineStr">
        <is>
          <t>主数据人工确认</t>
        </is>
      </c>
      <c r="G6" s="9" t="inlineStr">
        <is>
          <t>PLM/主数据系统</t>
        </is>
      </c>
      <c r="H6" s="9" t="inlineStr">
        <is>
          <t>产品主数据团队</t>
        </is>
      </c>
      <c r="I6" s="9" t="inlineStr">
        <is>
          <t>内部受限</t>
        </is>
      </c>
      <c r="J6" s="9" t="inlineStr">
        <is>
          <t>VAL-002</t>
        </is>
      </c>
      <c r="K6" s="20" t="inlineStr">
        <is>
          <t>需拆分到产品/工厂级</t>
        </is>
      </c>
      <c r="L6" s="20" t="inlineStr">
        <is>
          <t>部分可引用</t>
        </is>
      </c>
      <c r="M6" s="9" t="inlineStr">
        <is>
          <t>把公司级口径继续拆到型号+工厂+报告期</t>
        </is>
      </c>
      <c r="N6" s="9" t="inlineStr">
        <is>
          <t>EU+CBAM</t>
        </is>
      </c>
      <c r="O6" s="9" t="inlineStr">
        <is>
          <t>通用模板的产品锚点，可替换为任意实际型号</t>
        </is>
      </c>
    </row>
    <row r="7" ht="54" customHeight="1" s="30">
      <c r="A7" s="9" t="inlineStr">
        <is>
          <t>A. 基本身份</t>
        </is>
      </c>
      <c r="B7" s="9" t="inlineStr">
        <is>
          <t>battery_category</t>
        </is>
      </c>
      <c r="C7" s="9" t="inlineStr">
        <is>
          <t>产品业务类别</t>
        </is>
      </c>
      <c r="D7" s="9" t="inlineStr">
        <is>
          <t>文本</t>
        </is>
      </c>
      <c r="E7" s="10" t="inlineStr">
        <is>
          <t>是</t>
        </is>
      </c>
      <c r="F7" s="9" t="inlineStr">
        <is>
          <t>主数据人工确认</t>
        </is>
      </c>
      <c r="G7" s="9" t="inlineStr">
        <is>
          <t>PLM/主数据系统</t>
        </is>
      </c>
      <c r="H7" s="9" t="inlineStr">
        <is>
          <t>产品主数据团队</t>
        </is>
      </c>
      <c r="I7" s="9" t="inlineStr">
        <is>
          <t>公开或低敏</t>
        </is>
      </c>
      <c r="J7" s="9" t="inlineStr">
        <is>
          <t>VAL-001</t>
        </is>
      </c>
      <c r="K7" s="20" t="inlineStr">
        <is>
          <t>需拆分到产品/工厂级</t>
        </is>
      </c>
      <c r="L7" s="20" t="inlineStr">
        <is>
          <t>部分可引用</t>
        </is>
      </c>
      <c r="M7" s="9" t="inlineStr">
        <is>
          <t>补安装点ID、核验报告和访问权限控制</t>
        </is>
      </c>
      <c r="N7" s="9" t="inlineStr">
        <is>
          <t>EU</t>
        </is>
      </c>
      <c r="O7" s="9" t="inlineStr">
        <is>
          <t>这是业务和产品线分类；正式欧盟监管适用类别请看 regulatory_battery_class</t>
        </is>
      </c>
    </row>
    <row r="8" ht="27" customHeight="1" s="30">
      <c r="A8" s="9" t="inlineStr">
        <is>
          <t>A. 基本身份</t>
        </is>
      </c>
      <c r="B8" s="9" t="inlineStr">
        <is>
          <t>chemistry</t>
        </is>
      </c>
      <c r="C8" s="9" t="inlineStr">
        <is>
          <t>化学体系</t>
        </is>
      </c>
      <c r="D8" s="9" t="inlineStr">
        <is>
          <t>文本</t>
        </is>
      </c>
      <c r="E8" s="10" t="inlineStr">
        <is>
          <t>是</t>
        </is>
      </c>
      <c r="F8" s="9" t="inlineStr">
        <is>
          <t>主数据人工确认</t>
        </is>
      </c>
      <c r="G8" s="9" t="inlineStr">
        <is>
          <t>PLM/主数据系统</t>
        </is>
      </c>
      <c r="H8" s="9" t="inlineStr">
        <is>
          <t>产品主数据团队</t>
        </is>
      </c>
      <c r="I8" s="9" t="inlineStr">
        <is>
          <t>公开或低敏</t>
        </is>
      </c>
      <c r="J8" s="9" t="inlineStr">
        <is>
          <t>VAL-001</t>
        </is>
      </c>
      <c r="K8" s="20" t="inlineStr">
        <is>
          <t>需拆分到产品/工厂级</t>
        </is>
      </c>
      <c r="L8" s="20" t="inlineStr">
        <is>
          <t>部分可引用</t>
        </is>
      </c>
      <c r="M8" s="9" t="inlineStr">
        <is>
          <t>补安装点ID、核验报告和访问权限控制</t>
        </is>
      </c>
      <c r="N8" s="9" t="inlineStr">
        <is>
          <t>EU+CBAM</t>
        </is>
      </c>
      <c r="O8" s="9" t="inlineStr">
        <is>
          <t>保留化学体系接口，但不绑定单一神行配方</t>
        </is>
      </c>
    </row>
    <row r="9" ht="54" customHeight="1" s="30">
      <c r="A9" s="9" t="inlineStr">
        <is>
          <t>A. 基本身份</t>
        </is>
      </c>
      <c r="B9" s="9" t="inlineStr">
        <is>
          <t>plant_code</t>
        </is>
      </c>
      <c r="C9" s="9" t="inlineStr">
        <is>
          <t>制造工厂代码</t>
        </is>
      </c>
      <c r="D9" s="9" t="inlineStr">
        <is>
          <t>标识符文本</t>
        </is>
      </c>
      <c r="E9" s="10" t="inlineStr">
        <is>
          <t>是</t>
        </is>
      </c>
      <c r="F9" s="9" t="inlineStr">
        <is>
          <t>主数据人工确认</t>
        </is>
      </c>
      <c r="G9" s="9" t="inlineStr">
        <is>
          <t>PLM/主数据系统</t>
        </is>
      </c>
      <c r="H9" s="9" t="inlineStr">
        <is>
          <t>产品主数据团队</t>
        </is>
      </c>
      <c r="I9" s="9" t="inlineStr">
        <is>
          <t>内部受限</t>
        </is>
      </c>
      <c r="J9" s="9" t="inlineStr">
        <is>
          <t>VAL-002</t>
        </is>
      </c>
      <c r="K9" s="20" t="inlineStr">
        <is>
          <t>需拆分到产品/工厂级</t>
        </is>
      </c>
      <c r="L9" s="20" t="inlineStr">
        <is>
          <t>部分可引用</t>
        </is>
      </c>
      <c r="M9" s="9" t="inlineStr">
        <is>
          <t>把公司级口径继续拆到型号+工厂+报告期</t>
        </is>
      </c>
      <c r="N9" s="9" t="inlineStr">
        <is>
          <t>EU+CBAM</t>
        </is>
      </c>
      <c r="O9" s="9" t="inlineStr">
        <is>
          <t>主要制造工厂代码；若产品还涉及单独总成装配地点，请同时填写 assembly_site_* 字段</t>
        </is>
      </c>
    </row>
    <row r="10" ht="27" customHeight="1" s="30">
      <c r="A10" s="9" t="inlineStr">
        <is>
          <t>A. 基本身份</t>
        </is>
      </c>
      <c r="B10" s="9" t="inlineStr">
        <is>
          <t>plant_name</t>
        </is>
      </c>
      <c r="C10" s="9" t="inlineStr">
        <is>
          <t>制造工厂名称</t>
        </is>
      </c>
      <c r="D10" s="9" t="inlineStr">
        <is>
          <t>文本</t>
        </is>
      </c>
      <c r="E10" s="10" t="inlineStr">
        <is>
          <t>是</t>
        </is>
      </c>
      <c r="F10" s="9" t="inlineStr">
        <is>
          <t>主数据人工确认</t>
        </is>
      </c>
      <c r="G10" s="9" t="inlineStr">
        <is>
          <t>PLM/主数据系统</t>
        </is>
      </c>
      <c r="H10" s="9" t="inlineStr">
        <is>
          <t>产品主数据团队</t>
        </is>
      </c>
      <c r="I10" s="9" t="inlineStr">
        <is>
          <t>内部受限</t>
        </is>
      </c>
      <c r="J10" s="9" t="inlineStr">
        <is>
          <t>VAL-001</t>
        </is>
      </c>
      <c r="K10" s="20" t="inlineStr">
        <is>
          <t>需拆分到产品/工厂级</t>
        </is>
      </c>
      <c r="L10" s="20" t="inlineStr">
        <is>
          <t>部分可引用</t>
        </is>
      </c>
      <c r="M10" s="9" t="inlineStr">
        <is>
          <t>补安装点ID、核验报告和访问权限控制</t>
        </is>
      </c>
      <c r="N10" s="9" t="inlineStr">
        <is>
          <t>EU</t>
        </is>
      </c>
      <c r="O10" s="9" t="inlineStr">
        <is>
          <t>主要制造工厂名称；用于绑定主申报工厂</t>
        </is>
      </c>
    </row>
    <row r="11" ht="27" customHeight="1" s="30">
      <c r="A11" s="9" t="inlineStr">
        <is>
          <t>A. 基本身份</t>
        </is>
      </c>
      <c r="B11" s="9" t="inlineStr">
        <is>
          <t>reporting_period</t>
        </is>
      </c>
      <c r="C11" s="9" t="inlineStr">
        <is>
          <t>产品报告期</t>
        </is>
      </c>
      <c r="D11" s="9" t="inlineStr">
        <is>
          <t>文本</t>
        </is>
      </c>
      <c r="E11" s="10" t="inlineStr">
        <is>
          <t>是</t>
        </is>
      </c>
      <c r="F11" s="9" t="inlineStr">
        <is>
          <t>主数据人工确认</t>
        </is>
      </c>
      <c r="G11" s="9" t="inlineStr">
        <is>
          <t>PLM/主数据系统</t>
        </is>
      </c>
      <c r="H11" s="9" t="inlineStr">
        <is>
          <t>产品主数据团队</t>
        </is>
      </c>
      <c r="I11" s="9" t="inlineStr">
        <is>
          <t>内部受限</t>
        </is>
      </c>
      <c r="J11" s="9" t="inlineStr">
        <is>
          <t>VAL-012</t>
        </is>
      </c>
      <c r="K11" s="20" t="inlineStr">
        <is>
          <t>需拆分到产品/工厂级</t>
        </is>
      </c>
      <c r="L11" s="20" t="inlineStr">
        <is>
          <t>部分可引用</t>
        </is>
      </c>
      <c r="M11" s="9" t="inlineStr">
        <is>
          <t>把公司级口径继续拆到型号+工厂+报告期</t>
        </is>
      </c>
      <c r="N11" s="9" t="inlineStr">
        <is>
          <t>EU+CBAM</t>
        </is>
      </c>
      <c r="O11" s="9" t="inlineStr">
        <is>
          <t>模板示例周期，实际应用时按产品与工厂报告期填写</t>
        </is>
      </c>
    </row>
    <row r="12" ht="40.5" customHeight="1" s="30">
      <c r="A12" s="9" t="inlineStr">
        <is>
          <t>A. 基本身份</t>
        </is>
      </c>
      <c r="B12" s="9" t="inlineStr">
        <is>
          <t>regulatory_battery_class</t>
        </is>
      </c>
      <c r="C12" s="9" t="inlineStr">
        <is>
          <t>监管适用类别</t>
        </is>
      </c>
      <c r="D12" s="9" t="inlineStr">
        <is>
          <t>文本</t>
        </is>
      </c>
      <c r="E12" s="10" t="inlineStr">
        <is>
          <t>是</t>
        </is>
      </c>
      <c r="F12" s="9" t="inlineStr">
        <is>
          <t>主数据人工确认</t>
        </is>
      </c>
      <c r="G12" s="9" t="inlineStr">
        <is>
          <t>PLM/主数据系统</t>
        </is>
      </c>
      <c r="H12" s="9" t="inlineStr">
        <is>
          <t>产品主数据团队</t>
        </is>
      </c>
      <c r="I12" s="9" t="inlineStr">
        <is>
          <t>内部受限</t>
        </is>
      </c>
      <c r="J12" s="9" t="inlineStr">
        <is>
          <t>VAL-001</t>
        </is>
      </c>
      <c r="K12" s="20" t="inlineStr">
        <is>
          <t>需拆分到产品/工厂级</t>
        </is>
      </c>
      <c r="L12" s="20" t="inlineStr">
        <is>
          <t>部分可引用</t>
        </is>
      </c>
      <c r="M12" s="9" t="inlineStr">
        <is>
          <t>补安装点ID、核验报告和访问权限控制</t>
        </is>
      </c>
      <c r="N12" s="9" t="inlineStr">
        <is>
          <t>EU</t>
        </is>
      </c>
      <c r="O12" s="9" t="inlineStr">
        <is>
          <t>区分业务产品类别与欧盟监管适用类别，避免两者混在一起</t>
        </is>
      </c>
    </row>
    <row r="13" ht="40.5" customHeight="1" s="30">
      <c r="A13" s="9" t="inlineStr">
        <is>
          <t>A. 基本身份</t>
        </is>
      </c>
      <c r="B13" s="9" t="inlineStr">
        <is>
          <t>declared_boundary_note</t>
        </is>
      </c>
      <c r="C13" s="9" t="inlineStr">
        <is>
          <t>申报边界说明</t>
        </is>
      </c>
      <c r="D13" s="9" t="inlineStr">
        <is>
          <t>文本</t>
        </is>
      </c>
      <c r="E13" s="10" t="inlineStr">
        <is>
          <t>是</t>
        </is>
      </c>
      <c r="F13" s="9" t="inlineStr">
        <is>
          <t>主数据人工确认</t>
        </is>
      </c>
      <c r="G13" s="9" t="inlineStr">
        <is>
          <t>PLM/主数据系统</t>
        </is>
      </c>
      <c r="H13" s="9" t="inlineStr">
        <is>
          <t>产品主数据团队</t>
        </is>
      </c>
      <c r="I13" s="9" t="inlineStr">
        <is>
          <t>内部受限</t>
        </is>
      </c>
      <c r="J13" s="9" t="inlineStr">
        <is>
          <t>VAL-001</t>
        </is>
      </c>
      <c r="K13" s="20" t="inlineStr">
        <is>
          <t>需拆分到产品/工厂级</t>
        </is>
      </c>
      <c r="L13" s="20" t="inlineStr">
        <is>
          <t>部分可引用</t>
        </is>
      </c>
      <c r="M13" s="9" t="inlineStr">
        <is>
          <t>补安装点ID、核验报告和访问权限控制</t>
        </is>
      </c>
      <c r="N13" s="9" t="inlineStr">
        <is>
          <t>EU+CBAM</t>
        </is>
      </c>
      <c r="O13" s="9" t="inlineStr">
        <is>
          <t>明确申报单元到底包含哪些部件，是通用模板非常关键的边界字段</t>
        </is>
      </c>
    </row>
    <row r="14" ht="27" customHeight="1" s="30">
      <c r="A14" s="9" t="inlineStr">
        <is>
          <t>A. 基本身份</t>
        </is>
      </c>
      <c r="B14" s="9" t="inlineStr">
        <is>
          <t>cell_count_per_unit</t>
        </is>
      </c>
      <c r="C14" s="9" t="inlineStr">
        <is>
          <t>申报单元电芯数量</t>
        </is>
      </c>
      <c r="D14" s="9" t="inlineStr">
        <is>
          <t>数值</t>
        </is>
      </c>
      <c r="E14" s="10" t="inlineStr">
        <is>
          <t>是</t>
        </is>
      </c>
      <c r="F14" s="9" t="inlineStr">
        <is>
          <t>主数据人工确认</t>
        </is>
      </c>
      <c r="G14" s="9" t="inlineStr">
        <is>
          <t>PLM/主数据系统</t>
        </is>
      </c>
      <c r="H14" s="9" t="inlineStr">
        <is>
          <t>产品主数据团队</t>
        </is>
      </c>
      <c r="I14" s="9" t="inlineStr">
        <is>
          <t>内部受限</t>
        </is>
      </c>
      <c r="J14" s="9" t="inlineStr">
        <is>
          <t>VAL-001</t>
        </is>
      </c>
      <c r="K14" s="20" t="inlineStr">
        <is>
          <t>需拆分到产品/工厂级</t>
        </is>
      </c>
      <c r="L14" s="20" t="inlineStr">
        <is>
          <t>部分可引用</t>
        </is>
      </c>
      <c r="M14" s="9" t="inlineStr">
        <is>
          <t>补安装点ID、核验报告和访问权限控制</t>
        </is>
      </c>
      <c r="N14" s="9" t="inlineStr">
        <is>
          <t>EU+CBAM</t>
        </is>
      </c>
      <c r="O14" s="9" t="inlineStr">
        <is>
          <t>支持从 cell 到 module、pack、system 的结构展开</t>
        </is>
      </c>
    </row>
    <row r="15" ht="40.5" customHeight="1" s="30">
      <c r="A15" s="9" t="inlineStr">
        <is>
          <t>A. 基本身份</t>
        </is>
      </c>
      <c r="B15" s="9" t="inlineStr">
        <is>
          <t>module_count_per_unit</t>
        </is>
      </c>
      <c r="C15" s="9" t="inlineStr">
        <is>
          <t>申报单元模组数量</t>
        </is>
      </c>
      <c r="D15" s="9" t="inlineStr">
        <is>
          <t>数值</t>
        </is>
      </c>
      <c r="E15" s="10" t="inlineStr">
        <is>
          <t>是</t>
        </is>
      </c>
      <c r="F15" s="9" t="inlineStr">
        <is>
          <t>主数据人工确认</t>
        </is>
      </c>
      <c r="G15" s="9" t="inlineStr">
        <is>
          <t>PLM/主数据系统</t>
        </is>
      </c>
      <c r="H15" s="9" t="inlineStr">
        <is>
          <t>产品主数据团队</t>
        </is>
      </c>
      <c r="I15" s="9" t="inlineStr">
        <is>
          <t>内部受限</t>
        </is>
      </c>
      <c r="J15" s="9" t="inlineStr">
        <is>
          <t>VAL-001</t>
        </is>
      </c>
      <c r="K15" s="20" t="inlineStr">
        <is>
          <t>需拆分到产品/工厂级</t>
        </is>
      </c>
      <c r="L15" s="20" t="inlineStr">
        <is>
          <t>部分可引用</t>
        </is>
      </c>
      <c r="M15" s="9" t="inlineStr">
        <is>
          <t>补安装点ID、核验报告和访问权限控制</t>
        </is>
      </c>
      <c r="N15" s="9" t="inlineStr">
        <is>
          <t>EU+CBAM</t>
        </is>
      </c>
      <c r="O15" s="9" t="inlineStr">
        <is>
          <t>当申报对象是 pack 或 system 时，这个接口能避免模板只会按单层结构理解</t>
        </is>
      </c>
    </row>
    <row r="16" ht="40.5" customHeight="1" s="30">
      <c r="A16" s="9" t="inlineStr">
        <is>
          <t>A. 基本身份</t>
        </is>
      </c>
      <c r="B16" s="9" t="inlineStr">
        <is>
          <t>assembly_site_code</t>
        </is>
      </c>
      <c r="C16" s="9" t="inlineStr">
        <is>
          <t>总成装配地点代码</t>
        </is>
      </c>
      <c r="D16" s="9" t="inlineStr">
        <is>
          <t>标识符文本</t>
        </is>
      </c>
      <c r="E16" s="10" t="inlineStr">
        <is>
          <t>是</t>
        </is>
      </c>
      <c r="F16" s="9" t="inlineStr">
        <is>
          <t>主数据人工确认</t>
        </is>
      </c>
      <c r="G16" s="9" t="inlineStr">
        <is>
          <t>PLM/主数据系统</t>
        </is>
      </c>
      <c r="H16" s="9" t="inlineStr">
        <is>
          <t>产品主数据团队</t>
        </is>
      </c>
      <c r="I16" s="9" t="inlineStr">
        <is>
          <t>内部受限</t>
        </is>
      </c>
      <c r="J16" s="9" t="inlineStr">
        <is>
          <t>VAL-002</t>
        </is>
      </c>
      <c r="K16" s="20" t="inlineStr">
        <is>
          <t>需拆分到产品/工厂级</t>
        </is>
      </c>
      <c r="L16" s="20" t="inlineStr">
        <is>
          <t>部分可引用</t>
        </is>
      </c>
      <c r="M16" s="9" t="inlineStr">
        <is>
          <t>补安装点ID、核验报告和访问权限控制</t>
        </is>
      </c>
      <c r="N16" s="9" t="inlineStr">
        <is>
          <t>EU+CBAM</t>
        </is>
      </c>
      <c r="O16" s="9" t="inlineStr">
        <is>
          <t>支持电芯制造工厂与总成装配地点不一致的通用产品场景</t>
        </is>
      </c>
    </row>
    <row r="17" ht="40.5" customHeight="1" s="30">
      <c r="A17" s="9" t="inlineStr">
        <is>
          <t>A. 基本身份</t>
        </is>
      </c>
      <c r="B17" s="9" t="inlineStr">
        <is>
          <t>assembly_site_name</t>
        </is>
      </c>
      <c r="C17" s="9" t="inlineStr">
        <is>
          <t>总成装配地点名称</t>
        </is>
      </c>
      <c r="D17" s="9" t="inlineStr">
        <is>
          <t>文本</t>
        </is>
      </c>
      <c r="E17" s="10" t="inlineStr">
        <is>
          <t>是</t>
        </is>
      </c>
      <c r="F17" s="9" t="inlineStr">
        <is>
          <t>主数据人工确认</t>
        </is>
      </c>
      <c r="G17" s="9" t="inlineStr">
        <is>
          <t>PLM/主数据系统</t>
        </is>
      </c>
      <c r="H17" s="9" t="inlineStr">
        <is>
          <t>产品主数据团队</t>
        </is>
      </c>
      <c r="I17" s="9" t="inlineStr">
        <is>
          <t>内部受限</t>
        </is>
      </c>
      <c r="J17" s="9" t="inlineStr">
        <is>
          <t>VAL-001</t>
        </is>
      </c>
      <c r="K17" s="20" t="inlineStr">
        <is>
          <t>需拆分到产品/工厂级</t>
        </is>
      </c>
      <c r="L17" s="20" t="inlineStr">
        <is>
          <t>部分可引用</t>
        </is>
      </c>
      <c r="M17" s="9" t="inlineStr">
        <is>
          <t>补安装点ID、核验报告和访问权限控制</t>
        </is>
      </c>
      <c r="N17" s="9" t="inlineStr">
        <is>
          <t>EU+CBAM</t>
        </is>
      </c>
      <c r="O17" s="9" t="inlineStr">
        <is>
          <t>若产品是系统级或 pack 级，这个字段可以承接最终装配环节</t>
        </is>
      </c>
    </row>
    <row r="18" ht="27" customHeight="1" s="30">
      <c r="A18" s="9" t="inlineStr">
        <is>
          <t>A. 基本身份</t>
        </is>
      </c>
      <c r="B18" s="9" t="inlineStr">
        <is>
          <t>assembly_site_country</t>
        </is>
      </c>
      <c r="C18" s="9" t="inlineStr">
        <is>
          <t>总成装配地点国家/地区</t>
        </is>
      </c>
      <c r="D18" s="9" t="inlineStr">
        <is>
          <t>文本</t>
        </is>
      </c>
      <c r="E18" s="10" t="inlineStr">
        <is>
          <t>是</t>
        </is>
      </c>
      <c r="F18" s="9" t="inlineStr">
        <is>
          <t>主数据人工确认</t>
        </is>
      </c>
      <c r="G18" s="9" t="inlineStr">
        <is>
          <t>PLM/主数据系统</t>
        </is>
      </c>
      <c r="H18" s="9" t="inlineStr">
        <is>
          <t>产品主数据团队</t>
        </is>
      </c>
      <c r="I18" s="9" t="inlineStr">
        <is>
          <t>内部受限</t>
        </is>
      </c>
      <c r="J18" s="9" t="inlineStr">
        <is>
          <t>VAL-001</t>
        </is>
      </c>
      <c r="K18" s="20" t="inlineStr">
        <is>
          <t>需拆分到产品/工厂级</t>
        </is>
      </c>
      <c r="L18" s="20" t="inlineStr">
        <is>
          <t>部分可引用</t>
        </is>
      </c>
      <c r="M18" s="9" t="inlineStr">
        <is>
          <t>补安装点ID、核验报告和访问权限控制</t>
        </is>
      </c>
      <c r="N18" s="9" t="inlineStr">
        <is>
          <t>EU+CBAM</t>
        </is>
      </c>
      <c r="O18" s="9" t="inlineStr">
        <is>
          <t>便于后续扩展欧洲本地装配或多地装配的场景</t>
        </is>
      </c>
    </row>
    <row r="19" ht="27" customHeight="1" s="30">
      <c r="A19" s="9" t="inlineStr">
        <is>
          <t>A. 基本身份</t>
        </is>
      </c>
      <c r="B19" s="9" t="inlineStr">
        <is>
          <t>product_series</t>
        </is>
      </c>
      <c r="C19" s="9" t="inlineStr">
        <is>
          <t>产品系列/平台</t>
        </is>
      </c>
      <c r="D19" s="9" t="inlineStr">
        <is>
          <t>文本</t>
        </is>
      </c>
      <c r="E19" s="10" t="inlineStr">
        <is>
          <t>是</t>
        </is>
      </c>
      <c r="F19" s="9" t="inlineStr">
        <is>
          <t>主数据人工确认</t>
        </is>
      </c>
      <c r="G19" s="9" t="inlineStr">
        <is>
          <t>PLM/主数据系统</t>
        </is>
      </c>
      <c r="H19" s="9" t="inlineStr">
        <is>
          <t>产品主数据团队</t>
        </is>
      </c>
      <c r="I19" s="9" t="inlineStr">
        <is>
          <t>内部受限</t>
        </is>
      </c>
      <c r="J19" s="9" t="inlineStr">
        <is>
          <t>VAL-001</t>
        </is>
      </c>
      <c r="K19" s="20" t="inlineStr">
        <is>
          <t>需拆分到产品/工厂级</t>
        </is>
      </c>
      <c r="L19" s="20" t="inlineStr">
        <is>
          <t>部分可引用</t>
        </is>
      </c>
      <c r="M19" s="9" t="inlineStr">
        <is>
          <t>补安装点ID、核验报告和访问权限控制</t>
        </is>
      </c>
      <c r="N19" s="9" t="inlineStr">
        <is>
          <t>EU+CBAM</t>
        </is>
      </c>
      <c r="O19" s="9" t="inlineStr">
        <is>
          <t>用于兼容不同产品线，例如神行、麒麟、储能系统等</t>
        </is>
      </c>
    </row>
    <row r="20" ht="27" customHeight="1" s="30">
      <c r="A20" s="9" t="inlineStr">
        <is>
          <t>A. 基本身份</t>
        </is>
      </c>
      <c r="B20" s="9" t="inlineStr">
        <is>
          <t>application_scenario</t>
        </is>
      </c>
      <c r="C20" s="9" t="inlineStr">
        <is>
          <t>应用场景</t>
        </is>
      </c>
      <c r="D20" s="9" t="inlineStr">
        <is>
          <t>文本</t>
        </is>
      </c>
      <c r="E20" s="10" t="inlineStr">
        <is>
          <t>是</t>
        </is>
      </c>
      <c r="F20" s="9" t="inlineStr">
        <is>
          <t>主数据人工确认</t>
        </is>
      </c>
      <c r="G20" s="9" t="inlineStr">
        <is>
          <t>PLM/主数据系统</t>
        </is>
      </c>
      <c r="H20" s="9" t="inlineStr">
        <is>
          <t>产品主数据团队</t>
        </is>
      </c>
      <c r="I20" s="9" t="inlineStr">
        <is>
          <t>内部受限</t>
        </is>
      </c>
      <c r="J20" s="9" t="inlineStr">
        <is>
          <t>VAL-001</t>
        </is>
      </c>
      <c r="K20" s="20" t="inlineStr">
        <is>
          <t>需拆分到产品/工厂级</t>
        </is>
      </c>
      <c r="L20" s="20" t="inlineStr">
        <is>
          <t>部分可引用</t>
        </is>
      </c>
      <c r="M20" s="9" t="inlineStr">
        <is>
          <t>补安装点ID、核验报告和访问权限控制</t>
        </is>
      </c>
      <c r="N20" s="9" t="inlineStr">
        <is>
          <t>EU+CBAM</t>
        </is>
      </c>
      <c r="O20" s="9" t="inlineStr">
        <is>
          <t>用于区分动力、储能或其他产品场景</t>
        </is>
      </c>
    </row>
    <row r="21" ht="27" customHeight="1" s="30">
      <c r="A21" s="9" t="inlineStr">
        <is>
          <t>A. 基本身份</t>
        </is>
      </c>
      <c r="B21" s="9" t="inlineStr">
        <is>
          <t>product_level</t>
        </is>
      </c>
      <c r="C21" s="9" t="inlineStr">
        <is>
          <t>申报对象层级</t>
        </is>
      </c>
      <c r="D21" s="9" t="inlineStr">
        <is>
          <t>文本</t>
        </is>
      </c>
      <c r="E21" s="10" t="inlineStr">
        <is>
          <t>是</t>
        </is>
      </c>
      <c r="F21" s="9" t="inlineStr">
        <is>
          <t>主数据人工确认</t>
        </is>
      </c>
      <c r="G21" s="9" t="inlineStr">
        <is>
          <t>PLM/主数据系统</t>
        </is>
      </c>
      <c r="H21" s="9" t="inlineStr">
        <is>
          <t>产品主数据团队</t>
        </is>
      </c>
      <c r="I21" s="9" t="inlineStr">
        <is>
          <t>内部受限</t>
        </is>
      </c>
      <c r="J21" s="9" t="inlineStr">
        <is>
          <t>VAL-001</t>
        </is>
      </c>
      <c r="K21" s="20" t="inlineStr">
        <is>
          <t>需拆分到产品/工厂级</t>
        </is>
      </c>
      <c r="L21" s="20" t="inlineStr">
        <is>
          <t>部分可引用</t>
        </is>
      </c>
      <c r="M21" s="9" t="inlineStr">
        <is>
          <t>补安装点ID、核验报告和访问权限控制</t>
        </is>
      </c>
      <c r="N21" s="9" t="inlineStr">
        <is>
          <t>EU+CBAM</t>
        </is>
      </c>
      <c r="O21" s="9" t="inlineStr">
        <is>
          <t>通用模板必须允许不同申报对象层级</t>
        </is>
      </c>
    </row>
    <row r="22" ht="27" customHeight="1" s="30">
      <c r="A22" s="9" t="inlineStr">
        <is>
          <t>A. 基本身份</t>
        </is>
      </c>
      <c r="B22" s="9" t="inlineStr">
        <is>
          <t>declared_unit</t>
        </is>
      </c>
      <c r="C22" s="9" t="inlineStr">
        <is>
          <t>申报单位</t>
        </is>
      </c>
      <c r="D22" s="9" t="inlineStr">
        <is>
          <t>文本</t>
        </is>
      </c>
      <c r="E22" s="10" t="inlineStr">
        <is>
          <t>是</t>
        </is>
      </c>
      <c r="F22" s="9" t="inlineStr">
        <is>
          <t>主数据人工确认</t>
        </is>
      </c>
      <c r="G22" s="9" t="inlineStr">
        <is>
          <t>PLM/主数据系统</t>
        </is>
      </c>
      <c r="H22" s="9" t="inlineStr">
        <is>
          <t>产品主数据团队</t>
        </is>
      </c>
      <c r="I22" s="9" t="inlineStr">
        <is>
          <t>内部受限</t>
        </is>
      </c>
      <c r="J22" s="9" t="inlineStr">
        <is>
          <t>VAL-001</t>
        </is>
      </c>
      <c r="K22" s="20" t="inlineStr">
        <is>
          <t>需拆分到产品/工厂级</t>
        </is>
      </c>
      <c r="L22" s="20" t="inlineStr">
        <is>
          <t>部分可引用</t>
        </is>
      </c>
      <c r="M22" s="9" t="inlineStr">
        <is>
          <t>补安装点ID、核验报告和访问权限控制</t>
        </is>
      </c>
      <c r="N22" s="9" t="inlineStr">
        <is>
          <t>EU+CBAM</t>
        </is>
      </c>
      <c r="O22" s="9" t="inlineStr">
        <is>
          <t>便于未来不同产品或系统级申报</t>
        </is>
      </c>
    </row>
    <row r="23" ht="27" customHeight="1" s="30">
      <c r="A23" s="9" t="inlineStr">
        <is>
          <t>A. 基本身份</t>
        </is>
      </c>
      <c r="B23" s="9" t="inlineStr">
        <is>
          <t>destination_market</t>
        </is>
      </c>
      <c r="C23" s="9" t="inlineStr">
        <is>
          <t>目标市场</t>
        </is>
      </c>
      <c r="D23" s="9" t="inlineStr">
        <is>
          <t>文本</t>
        </is>
      </c>
      <c r="E23" s="10" t="inlineStr">
        <is>
          <t>是</t>
        </is>
      </c>
      <c r="F23" s="9" t="inlineStr">
        <is>
          <t>主数据人工确认</t>
        </is>
      </c>
      <c r="G23" s="9" t="inlineStr">
        <is>
          <t>PLM/主数据系统</t>
        </is>
      </c>
      <c r="H23" s="9" t="inlineStr">
        <is>
          <t>产品主数据团队</t>
        </is>
      </c>
      <c r="I23" s="9" t="inlineStr">
        <is>
          <t>内部受限</t>
        </is>
      </c>
      <c r="J23" s="9" t="inlineStr">
        <is>
          <t>VAL-001</t>
        </is>
      </c>
      <c r="K23" s="20" t="inlineStr">
        <is>
          <t>需拆分到产品/工厂级</t>
        </is>
      </c>
      <c r="L23" s="20" t="inlineStr">
        <is>
          <t>部分可引用</t>
        </is>
      </c>
      <c r="M23" s="9" t="inlineStr">
        <is>
          <t>补安装点ID、核验报告和访问权限控制</t>
        </is>
      </c>
      <c r="N23" s="9" t="inlineStr">
        <is>
          <t>EU+CBAM</t>
        </is>
      </c>
      <c r="O23" s="9" t="inlineStr">
        <is>
          <t>同一模板可扩展到不同市场版本</t>
        </is>
      </c>
    </row>
    <row r="24" ht="27" customHeight="1" s="30">
      <c r="A24" s="9" t="inlineStr">
        <is>
          <t>A. 基本身份</t>
        </is>
      </c>
      <c r="B24" s="9" t="inlineStr">
        <is>
          <t>plant_country</t>
        </is>
      </c>
      <c r="C24" s="9" t="inlineStr">
        <is>
          <t>制造工厂所在国家</t>
        </is>
      </c>
      <c r="D24" s="9" t="inlineStr">
        <is>
          <t>文本</t>
        </is>
      </c>
      <c r="E24" s="10" t="inlineStr">
        <is>
          <t>是</t>
        </is>
      </c>
      <c r="F24" s="9" t="inlineStr">
        <is>
          <t>主数据人工确认</t>
        </is>
      </c>
      <c r="G24" s="9" t="inlineStr">
        <is>
          <t>PLM/主数据系统</t>
        </is>
      </c>
      <c r="H24" s="9" t="inlineStr">
        <is>
          <t>产品主数据团队</t>
        </is>
      </c>
      <c r="I24" s="9" t="inlineStr">
        <is>
          <t>内部受限</t>
        </is>
      </c>
      <c r="J24" s="9" t="inlineStr">
        <is>
          <t>VAL-001</t>
        </is>
      </c>
      <c r="K24" s="20" t="inlineStr">
        <is>
          <t>需拆分到产品/工厂级</t>
        </is>
      </c>
      <c r="L24" s="20" t="inlineStr">
        <is>
          <t>部分可引用</t>
        </is>
      </c>
      <c r="M24" s="9" t="inlineStr">
        <is>
          <t>补安装点ID、核验报告和访问权限控制</t>
        </is>
      </c>
      <c r="N24" s="9" t="inlineStr">
        <is>
          <t>EU+CBAM</t>
        </is>
      </c>
      <c r="O24" s="9" t="inlineStr">
        <is>
          <t>为未来跨境工厂和欧洲本地工厂预留接口</t>
        </is>
      </c>
    </row>
    <row r="25" ht="27" customHeight="1" s="30">
      <c r="A25" s="9" t="inlineStr">
        <is>
          <t>A. 基本身份</t>
        </is>
      </c>
      <c r="B25" s="9" t="inlineStr">
        <is>
          <t>cell_form_factor</t>
        </is>
      </c>
      <c r="C25" s="9" t="inlineStr">
        <is>
          <t>电芯形态</t>
        </is>
      </c>
      <c r="D25" s="9" t="inlineStr">
        <is>
          <t>文本</t>
        </is>
      </c>
      <c r="E25" s="10" t="inlineStr">
        <is>
          <t>是</t>
        </is>
      </c>
      <c r="F25" s="9" t="inlineStr">
        <is>
          <t>主数据人工确认</t>
        </is>
      </c>
      <c r="G25" s="9" t="inlineStr">
        <is>
          <t>PLM/主数据系统</t>
        </is>
      </c>
      <c r="H25" s="9" t="inlineStr">
        <is>
          <t>产品主数据团队</t>
        </is>
      </c>
      <c r="I25" s="9" t="inlineStr">
        <is>
          <t>内部受限</t>
        </is>
      </c>
      <c r="J25" s="9" t="inlineStr">
        <is>
          <t>VAL-009</t>
        </is>
      </c>
      <c r="K25" s="20" t="inlineStr">
        <is>
          <t>需拆分到产品/工厂级</t>
        </is>
      </c>
      <c r="L25" s="20" t="inlineStr">
        <is>
          <t>部分可引用</t>
        </is>
      </c>
      <c r="M25" s="9" t="inlineStr">
        <is>
          <t>补安装点ID、核验报告和访问权限控制</t>
        </is>
      </c>
      <c r="N25" s="9" t="inlineStr">
        <is>
          <t>EU</t>
        </is>
      </c>
      <c r="O25" s="9" t="inlineStr">
        <is>
          <t>为不同产品平台预留结构差异接口</t>
        </is>
      </c>
    </row>
    <row r="26" ht="27" customHeight="1" s="30">
      <c r="A26" s="9" t="inlineStr">
        <is>
          <t>A. 基本身份</t>
        </is>
      </c>
      <c r="B26" s="9" t="inlineStr">
        <is>
          <t>architecture_type</t>
        </is>
      </c>
      <c r="C26" s="9" t="inlineStr">
        <is>
          <t>系统架构类型</t>
        </is>
      </c>
      <c r="D26" s="9" t="inlineStr">
        <is>
          <t>文本</t>
        </is>
      </c>
      <c r="E26" s="10" t="inlineStr">
        <is>
          <t>是</t>
        </is>
      </c>
      <c r="F26" s="9" t="inlineStr">
        <is>
          <t>主数据人工确认</t>
        </is>
      </c>
      <c r="G26" s="9" t="inlineStr">
        <is>
          <t>PLM/主数据系统</t>
        </is>
      </c>
      <c r="H26" s="9" t="inlineStr">
        <is>
          <t>产品主数据团队</t>
        </is>
      </c>
      <c r="I26" s="9" t="inlineStr">
        <is>
          <t>内部受限</t>
        </is>
      </c>
      <c r="J26" s="9" t="inlineStr">
        <is>
          <t>VAL-001</t>
        </is>
      </c>
      <c r="K26" s="20" t="inlineStr">
        <is>
          <t>需拆分到产品/工厂级</t>
        </is>
      </c>
      <c r="L26" s="20" t="inlineStr">
        <is>
          <t>部分可引用</t>
        </is>
      </c>
      <c r="M26" s="9" t="inlineStr">
        <is>
          <t>补安装点ID、核验报告和访问权限控制</t>
        </is>
      </c>
      <c r="N26" s="9" t="inlineStr">
        <is>
          <t>EU+CBAM</t>
        </is>
      </c>
      <c r="O26" s="9" t="inlineStr">
        <is>
          <t>避免模板只绑定到神行 CTP 场景</t>
        </is>
      </c>
    </row>
    <row r="27" ht="27" customHeight="1" s="30">
      <c r="A27" s="9" t="inlineStr">
        <is>
          <t>A. 基本身份</t>
        </is>
      </c>
      <c r="B27" s="9" t="inlineStr">
        <is>
          <t>total_product_mass_kg</t>
        </is>
      </c>
      <c r="C27" s="9" t="inlineStr">
        <is>
          <t>产品总质量</t>
        </is>
      </c>
      <c r="D27" s="9" t="inlineStr">
        <is>
          <t>数值</t>
        </is>
      </c>
      <c r="E27" s="10" t="inlineStr">
        <is>
          <t>是</t>
        </is>
      </c>
      <c r="F27" s="9" t="inlineStr">
        <is>
          <t>主数据人工确认</t>
        </is>
      </c>
      <c r="G27" s="9" t="inlineStr">
        <is>
          <t>PLM/主数据系统</t>
        </is>
      </c>
      <c r="H27" s="9" t="inlineStr">
        <is>
          <t>产品主数据团队</t>
        </is>
      </c>
      <c r="I27" s="9" t="inlineStr">
        <is>
          <t>内部受限</t>
        </is>
      </c>
      <c r="J27" s="9" t="inlineStr">
        <is>
          <t>VAL-008</t>
        </is>
      </c>
      <c r="K27" s="20" t="inlineStr">
        <is>
          <t>需拆分到产品/工厂级</t>
        </is>
      </c>
      <c r="L27" s="20" t="inlineStr">
        <is>
          <t>部分可引用</t>
        </is>
      </c>
      <c r="M27" s="9" t="inlineStr">
        <is>
          <t>补安装点ID、核验报告和访问权限控制</t>
        </is>
      </c>
      <c r="N27" s="9" t="inlineStr">
        <is>
          <t>EU+CBAM</t>
        </is>
      </c>
      <c r="O27" s="9" t="inlineStr">
        <is>
          <t>为不同产品级别和系统级方案预留总质量接口</t>
        </is>
      </c>
    </row>
    <row r="28" ht="27" customHeight="1" s="30">
      <c r="A28" s="9" t="inlineStr">
        <is>
          <t>A. 基本身份</t>
        </is>
      </c>
      <c r="B28" s="9" t="inlineStr">
        <is>
          <t>pcf_method_version</t>
        </is>
      </c>
      <c r="C28" s="9" t="inlineStr">
        <is>
          <t>碳足迹方法版本</t>
        </is>
      </c>
      <c r="D28" s="9" t="inlineStr">
        <is>
          <t>文本</t>
        </is>
      </c>
      <c r="E28" s="10" t="inlineStr">
        <is>
          <t>是</t>
        </is>
      </c>
      <c r="F28" s="9" t="inlineStr">
        <is>
          <t>主数据人工确认</t>
        </is>
      </c>
      <c r="G28" s="9" t="inlineStr">
        <is>
          <t>PLM/主数据系统</t>
        </is>
      </c>
      <c r="H28" s="9" t="inlineStr">
        <is>
          <t>产品主数据团队</t>
        </is>
      </c>
      <c r="I28" s="9" t="inlineStr">
        <is>
          <t>内部受限</t>
        </is>
      </c>
      <c r="J28" s="9" t="inlineStr">
        <is>
          <t>VAL-009</t>
        </is>
      </c>
      <c r="K28" s="20" t="inlineStr">
        <is>
          <t>需拆分到产品/工厂级</t>
        </is>
      </c>
      <c r="L28" s="20" t="inlineStr">
        <is>
          <t>部分可引用</t>
        </is>
      </c>
      <c r="M28" s="9" t="inlineStr">
        <is>
          <t>补安装点ID、核验报告和访问权限控制</t>
        </is>
      </c>
      <c r="N28" s="9" t="inlineStr">
        <is>
          <t>EU+CBAM</t>
        </is>
      </c>
      <c r="O28" s="9" t="inlineStr">
        <is>
          <t>记录当前产品采用哪一版方法学</t>
        </is>
      </c>
    </row>
    <row r="29" ht="27" customHeight="1" s="30">
      <c r="A29" s="9" t="inlineStr">
        <is>
          <t>A. 基本身份</t>
        </is>
      </c>
      <c r="B29" s="9" t="inlineStr">
        <is>
          <t>factor_library_version</t>
        </is>
      </c>
      <c r="C29" s="9" t="inlineStr">
        <is>
          <t>因子库版本</t>
        </is>
      </c>
      <c r="D29" s="9" t="inlineStr">
        <is>
          <t>文本</t>
        </is>
      </c>
      <c r="E29" s="10" t="inlineStr">
        <is>
          <t>是</t>
        </is>
      </c>
      <c r="F29" s="9" t="inlineStr">
        <is>
          <t>主数据人工确认</t>
        </is>
      </c>
      <c r="G29" s="9" t="inlineStr">
        <is>
          <t>PLM/主数据系统</t>
        </is>
      </c>
      <c r="H29" s="9" t="inlineStr">
        <is>
          <t>产品主数据团队</t>
        </is>
      </c>
      <c r="I29" s="9" t="inlineStr">
        <is>
          <t>内部受限</t>
        </is>
      </c>
      <c r="J29" s="9" t="inlineStr">
        <is>
          <t>VAL-009</t>
        </is>
      </c>
      <c r="K29" s="20" t="inlineStr">
        <is>
          <t>需拆分到产品/工厂级</t>
        </is>
      </c>
      <c r="L29" s="20" t="inlineStr">
        <is>
          <t>部分可引用</t>
        </is>
      </c>
      <c r="M29" s="9" t="inlineStr">
        <is>
          <t>补安装点ID、核验报告和访问权限控制</t>
        </is>
      </c>
      <c r="N29" s="9" t="inlineStr">
        <is>
          <t>EU+CBAM</t>
        </is>
      </c>
      <c r="O29" s="9" t="inlineStr">
        <is>
          <t>为中欧因子口径转换和版本管理预留接口</t>
        </is>
      </c>
    </row>
    <row r="30" ht="27" customHeight="1" s="30">
      <c r="A30" s="9" t="inlineStr">
        <is>
          <t>A. 基本身份</t>
        </is>
      </c>
      <c r="B30" s="9" t="inlineStr">
        <is>
          <t>verification_report_id</t>
        </is>
      </c>
      <c r="C30" s="9" t="inlineStr">
        <is>
          <t>核验报告编号</t>
        </is>
      </c>
      <c r="D30" s="9" t="inlineStr">
        <is>
          <t>标识符文本</t>
        </is>
      </c>
      <c r="E30" s="10" t="inlineStr">
        <is>
          <t>是</t>
        </is>
      </c>
      <c r="F30" s="9" t="inlineStr">
        <is>
          <t>主数据人工确认</t>
        </is>
      </c>
      <c r="G30" s="9" t="inlineStr">
        <is>
          <t>PLM/主数据系统</t>
        </is>
      </c>
      <c r="H30" s="9" t="inlineStr">
        <is>
          <t>产品主数据团队</t>
        </is>
      </c>
      <c r="I30" s="9" t="inlineStr">
        <is>
          <t>内部受限</t>
        </is>
      </c>
      <c r="J30" s="9" t="inlineStr">
        <is>
          <t>VAL-002</t>
        </is>
      </c>
      <c r="K30" s="20" t="inlineStr">
        <is>
          <t>需拆分到产品/工厂级</t>
        </is>
      </c>
      <c r="L30" s="20" t="inlineStr">
        <is>
          <t>部分可引用</t>
        </is>
      </c>
      <c r="M30" s="9" t="inlineStr">
        <is>
          <t>补安装点ID、核验报告和访问权限控制</t>
        </is>
      </c>
      <c r="N30" s="9" t="inlineStr">
        <is>
          <t>EU+CBAM</t>
        </is>
      </c>
      <c r="O30" s="9" t="inlineStr">
        <is>
          <t>便于后续把第三方核验真正挂接到字段层</t>
        </is>
      </c>
    </row>
    <row r="31" ht="54" customHeight="1" s="30">
      <c r="A31" s="9" t="inlineStr">
        <is>
          <t>A. 基本身份</t>
        </is>
      </c>
      <c r="B31" s="9" t="inlineStr">
        <is>
          <t>pack_capacity_kwh</t>
        </is>
      </c>
      <c r="C31" s="9" t="inlineStr">
        <is>
          <t>申报单元额定容量</t>
        </is>
      </c>
      <c r="D31" s="9" t="inlineStr">
        <is>
          <t>数值</t>
        </is>
      </c>
      <c r="E31" s="10" t="inlineStr">
        <is>
          <t>是</t>
        </is>
      </c>
      <c r="F31" s="9" t="inlineStr">
        <is>
          <t>主数据人工确认</t>
        </is>
      </c>
      <c r="G31" s="9" t="inlineStr">
        <is>
          <t>PLM/主数据系统</t>
        </is>
      </c>
      <c r="H31" s="9" t="inlineStr">
        <is>
          <t>产品主数据团队</t>
        </is>
      </c>
      <c r="I31" s="9" t="inlineStr">
        <is>
          <t>内部受限</t>
        </is>
      </c>
      <c r="J31" s="9" t="inlineStr">
        <is>
          <t>VAL-003</t>
        </is>
      </c>
      <c r="K31" s="20" t="inlineStr">
        <is>
          <t>需拆分到产品/工厂级</t>
        </is>
      </c>
      <c r="L31" s="20" t="inlineStr">
        <is>
          <t>部分可引用</t>
        </is>
      </c>
      <c r="M31" s="9" t="inlineStr">
        <is>
          <t>补安装点ID、核验报告和访问权限控制</t>
        </is>
      </c>
      <c r="N31" s="9" t="inlineStr">
        <is>
          <t>EU</t>
        </is>
      </c>
      <c r="O31" s="9" t="inlineStr">
        <is>
          <t>无论当前申报对象是 cell、module、pack 还是 system，都按当前申报单元填写容量</t>
        </is>
      </c>
    </row>
    <row r="32" ht="27" customHeight="1" s="30">
      <c r="A32" s="9" t="inlineStr">
        <is>
          <t>A. 基本身份</t>
        </is>
      </c>
      <c r="B32" s="9" t="inlineStr">
        <is>
          <t>nominal_voltage_v</t>
        </is>
      </c>
      <c r="C32" s="9" t="inlineStr">
        <is>
          <t>标称电压</t>
        </is>
      </c>
      <c r="D32" s="9" t="inlineStr">
        <is>
          <t>数值</t>
        </is>
      </c>
      <c r="E32" s="10" t="inlineStr">
        <is>
          <t>是</t>
        </is>
      </c>
      <c r="F32" s="9" t="inlineStr">
        <is>
          <t>主数据人工确认</t>
        </is>
      </c>
      <c r="G32" s="9" t="inlineStr">
        <is>
          <t>PLM/主数据系统</t>
        </is>
      </c>
      <c r="H32" s="9" t="inlineStr">
        <is>
          <t>产品主数据团队</t>
        </is>
      </c>
      <c r="I32" s="9" t="inlineStr">
        <is>
          <t>内部受限</t>
        </is>
      </c>
      <c r="J32" s="9" t="inlineStr">
        <is>
          <t>VAL-004</t>
        </is>
      </c>
      <c r="K32" s="20" t="inlineStr">
        <is>
          <t>需拆分到产品/工厂级</t>
        </is>
      </c>
      <c r="L32" s="20" t="inlineStr">
        <is>
          <t>部分可引用</t>
        </is>
      </c>
      <c r="M32" s="9" t="inlineStr">
        <is>
          <t>补安装点ID、核验报告和访问权限控制</t>
        </is>
      </c>
      <c r="N32" s="9" t="inlineStr">
        <is>
          <t>EU</t>
        </is>
      </c>
      <c r="O32" s="9" t="inlineStr">
        <is>
          <t>产品公开参数</t>
        </is>
      </c>
    </row>
    <row r="33" ht="27" customHeight="1" s="30">
      <c r="A33" s="9" t="inlineStr">
        <is>
          <t>A. 基本身份</t>
        </is>
      </c>
      <c r="B33" s="9" t="inlineStr">
        <is>
          <t>cycle_life_cycles</t>
        </is>
      </c>
      <c r="C33" s="9" t="inlineStr">
        <is>
          <t>循环寿命</t>
        </is>
      </c>
      <c r="D33" s="9" t="inlineStr">
        <is>
          <t>数值</t>
        </is>
      </c>
      <c r="E33" s="10" t="inlineStr">
        <is>
          <t>是</t>
        </is>
      </c>
      <c r="F33" s="9" t="inlineStr">
        <is>
          <t>主数据人工确认</t>
        </is>
      </c>
      <c r="G33" s="9" t="inlineStr">
        <is>
          <t>PLM/主数据系统</t>
        </is>
      </c>
      <c r="H33" s="9" t="inlineStr">
        <is>
          <t>产品主数据团队</t>
        </is>
      </c>
      <c r="I33" s="9" t="inlineStr">
        <is>
          <t>内部受限</t>
        </is>
      </c>
      <c r="J33" s="9" t="inlineStr">
        <is>
          <t>VAL-004</t>
        </is>
      </c>
      <c r="K33" s="20" t="inlineStr">
        <is>
          <t>需拆分到产品/工厂级</t>
        </is>
      </c>
      <c r="L33" s="20" t="inlineStr">
        <is>
          <t>部分可引用</t>
        </is>
      </c>
      <c r="M33" s="9" t="inlineStr">
        <is>
          <t>补安装点ID、核验报告和访问权限控制</t>
        </is>
      </c>
      <c r="N33" s="9" t="inlineStr">
        <is>
          <t>EU</t>
        </is>
      </c>
      <c r="O33" s="9" t="inlineStr">
        <is>
          <t>护照参数层</t>
        </is>
      </c>
    </row>
    <row r="34" ht="27" customHeight="1" s="30">
      <c r="A34" s="9" t="inlineStr">
        <is>
          <t>A. 基本身份</t>
        </is>
      </c>
      <c r="B34" s="9" t="inlineStr">
        <is>
          <t>individual_battery_prefix</t>
        </is>
      </c>
      <c r="C34" s="9" t="inlineStr">
        <is>
          <t>个体电池编码前缀</t>
        </is>
      </c>
      <c r="D34" s="9" t="inlineStr">
        <is>
          <t>标识符文本</t>
        </is>
      </c>
      <c r="E34" s="10" t="inlineStr">
        <is>
          <t>是</t>
        </is>
      </c>
      <c r="F34" s="9" t="inlineStr">
        <is>
          <t>主数据人工确认</t>
        </is>
      </c>
      <c r="G34" s="9" t="inlineStr">
        <is>
          <t>PLM/主数据系统</t>
        </is>
      </c>
      <c r="H34" s="9" t="inlineStr">
        <is>
          <t>产品主数据团队</t>
        </is>
      </c>
      <c r="I34" s="9" t="inlineStr">
        <is>
          <t>内部受限</t>
        </is>
      </c>
      <c r="J34" s="9" t="inlineStr">
        <is>
          <t>VAL-002</t>
        </is>
      </c>
      <c r="K34" s="20" t="inlineStr">
        <is>
          <t>需拆分到产品/工厂级</t>
        </is>
      </c>
      <c r="L34" s="20" t="inlineStr">
        <is>
          <t>部分可引用</t>
        </is>
      </c>
      <c r="M34" s="9" t="inlineStr">
        <is>
          <t>补安装点ID、核验报告和访问权限控制</t>
        </is>
      </c>
      <c r="N34" s="9" t="inlineStr">
        <is>
          <t>EU</t>
        </is>
      </c>
      <c r="O34" s="9" t="inlineStr">
        <is>
          <t>模板前缀，后续可扩展为任意序列化规则</t>
        </is>
      </c>
    </row>
    <row r="35" ht="27" customHeight="1" s="30">
      <c r="A35" s="9" t="inlineStr">
        <is>
          <t>A. 基本身份</t>
        </is>
      </c>
      <c r="B35" s="9" t="inlineStr">
        <is>
          <t>due_diligence_policy_url</t>
        </is>
      </c>
      <c r="C35" s="9" t="inlineStr">
        <is>
          <t>尽调政策链接</t>
        </is>
      </c>
      <c r="D35" s="9" t="inlineStr">
        <is>
          <t>链接文本</t>
        </is>
      </c>
      <c r="E35" s="10" t="inlineStr">
        <is>
          <t>是</t>
        </is>
      </c>
      <c r="F35" s="9" t="inlineStr">
        <is>
          <t>主数据人工确认</t>
        </is>
      </c>
      <c r="G35" s="9" t="inlineStr">
        <is>
          <t>法务/官网政策库</t>
        </is>
      </c>
      <c r="H35" s="9" t="inlineStr">
        <is>
          <t>法务与尽调团队</t>
        </is>
      </c>
      <c r="I35" s="9" t="inlineStr">
        <is>
          <t>公开或低敏</t>
        </is>
      </c>
      <c r="J35" s="9" t="inlineStr">
        <is>
          <t>VAL-015</t>
        </is>
      </c>
      <c r="K35" s="10" t="inlineStr">
        <is>
          <t>可直接复用</t>
        </is>
      </c>
      <c r="L35" s="10" t="inlineStr">
        <is>
          <t>可直接引用</t>
        </is>
      </c>
      <c r="M35" s="9" t="inlineStr">
        <is>
          <t>补安装点ID、核验报告和访问权限控制</t>
        </is>
      </c>
      <c r="N35" s="9" t="inlineStr">
        <is>
          <t>EU</t>
        </is>
      </c>
      <c r="O35" s="9" t="inlineStr">
        <is>
          <t>尽调公开字段</t>
        </is>
      </c>
    </row>
    <row r="36" ht="27" customHeight="1" s="30">
      <c r="A36" s="9" t="inlineStr">
        <is>
          <t>A. 基本身份</t>
        </is>
      </c>
      <c r="B36" s="9" t="inlineStr">
        <is>
          <t>qr_object_id</t>
        </is>
      </c>
      <c r="C36" s="9" t="inlineStr">
        <is>
          <t>护照对象 ID</t>
        </is>
      </c>
      <c r="D36" s="9" t="inlineStr">
        <is>
          <t>标识符文本</t>
        </is>
      </c>
      <c r="E36" s="10" t="inlineStr">
        <is>
          <t>是</t>
        </is>
      </c>
      <c r="F36" s="9" t="inlineStr">
        <is>
          <t>主数据人工确认</t>
        </is>
      </c>
      <c r="G36" s="9" t="inlineStr">
        <is>
          <t>PLM/主数据系统</t>
        </is>
      </c>
      <c r="H36" s="9" t="inlineStr">
        <is>
          <t>产品主数据团队</t>
        </is>
      </c>
      <c r="I36" s="9" t="inlineStr">
        <is>
          <t>内部受限</t>
        </is>
      </c>
      <c r="J36" s="9" t="inlineStr">
        <is>
          <t>VAL-002</t>
        </is>
      </c>
      <c r="K36" s="20" t="inlineStr">
        <is>
          <t>需拆分到产品/工厂级</t>
        </is>
      </c>
      <c r="L36" s="20" t="inlineStr">
        <is>
          <t>部分可引用</t>
        </is>
      </c>
      <c r="M36" s="9" t="inlineStr">
        <is>
          <t>补安装点ID、核验报告和访问权限控制</t>
        </is>
      </c>
      <c r="N36" s="9" t="inlineStr">
        <is>
          <t>EU</t>
        </is>
      </c>
      <c r="O36" s="9" t="inlineStr">
        <is>
          <t>数字护照对象键</t>
        </is>
      </c>
    </row>
    <row r="37" ht="27" customHeight="1" s="30">
      <c r="A37" s="9" t="inlineStr">
        <is>
          <t>B. 合规准备状态</t>
        </is>
      </c>
      <c r="B37" s="9" t="inlineStr">
        <is>
          <t>pcf_study_status</t>
        </is>
      </c>
      <c r="C37" s="9" t="inlineStr">
        <is>
          <t>产品碳足迹研究底稿状态</t>
        </is>
      </c>
      <c r="D37" s="9" t="inlineStr">
        <is>
          <t>状态文本</t>
        </is>
      </c>
      <c r="E37" s="10" t="inlineStr">
        <is>
          <t>是</t>
        </is>
      </c>
      <c r="F37" s="9" t="inlineStr">
        <is>
          <t>合规状态人工确认</t>
        </is>
      </c>
      <c r="G37" s="9" t="inlineStr">
        <is>
          <t>合规项目台账</t>
        </is>
      </c>
      <c r="H37" s="9" t="inlineStr">
        <is>
          <t>法规合规团队</t>
        </is>
      </c>
      <c r="I37" s="9" t="inlineStr">
        <is>
          <t>内部受限</t>
        </is>
      </c>
      <c r="J37" s="9" t="inlineStr">
        <is>
          <t>VAL-006</t>
        </is>
      </c>
      <c r="K37" s="20" t="inlineStr">
        <is>
          <t>需建立正式核验链</t>
        </is>
      </c>
      <c r="L37" s="20" t="inlineStr">
        <is>
          <t>部分可引用</t>
        </is>
      </c>
      <c r="M37" s="9" t="inlineStr">
        <is>
          <t>补齐正式证据包并挂到证据台账</t>
        </is>
      </c>
      <c r="N37" s="9" t="inlineStr">
        <is>
          <t>EU</t>
        </is>
      </c>
      <c r="O37" s="9" t="inlineStr">
        <is>
          <t>碳足迹声明底稿是否齐备</t>
        </is>
      </c>
    </row>
    <row r="38" ht="27" customHeight="1" s="30">
      <c r="A38" s="9" t="inlineStr">
        <is>
          <t>B. 合规准备状态</t>
        </is>
      </c>
      <c r="B38" s="9" t="inlineStr">
        <is>
          <t>test_report_status</t>
        </is>
      </c>
      <c r="C38" s="9" t="inlineStr">
        <is>
          <t>测试报告状态</t>
        </is>
      </c>
      <c r="D38" s="9" t="inlineStr">
        <is>
          <t>状态文本</t>
        </is>
      </c>
      <c r="E38" s="10" t="inlineStr">
        <is>
          <t>是</t>
        </is>
      </c>
      <c r="F38" s="9" t="inlineStr">
        <is>
          <t>合规状态人工确认</t>
        </is>
      </c>
      <c r="G38" s="9" t="inlineStr">
        <is>
          <t>合规项目台账</t>
        </is>
      </c>
      <c r="H38" s="9" t="inlineStr">
        <is>
          <t>法规合规团队</t>
        </is>
      </c>
      <c r="I38" s="9" t="inlineStr">
        <is>
          <t>内部受限</t>
        </is>
      </c>
      <c r="J38" s="9" t="inlineStr">
        <is>
          <t>VAL-006</t>
        </is>
      </c>
      <c r="K38" s="20" t="inlineStr">
        <is>
          <t>需建立正式核验链</t>
        </is>
      </c>
      <c r="L38" s="20" t="inlineStr">
        <is>
          <t>部分可引用</t>
        </is>
      </c>
      <c r="M38" s="9" t="inlineStr">
        <is>
          <t>补齐正式证据包并挂到证据台账</t>
        </is>
      </c>
      <c r="N38" s="9" t="inlineStr">
        <is>
          <t>EU</t>
        </is>
      </c>
      <c r="O38" s="9" t="inlineStr">
        <is>
          <t>正式合规评估硬材料</t>
        </is>
      </c>
    </row>
    <row r="39" ht="27" customHeight="1" s="30">
      <c r="A39" s="9" t="inlineStr">
        <is>
          <t>B. 合规准备状态</t>
        </is>
      </c>
      <c r="B39" s="9" t="inlineStr">
        <is>
          <t>technical_doc_status</t>
        </is>
      </c>
      <c r="C39" s="9" t="inlineStr">
        <is>
          <t>技术文档状态</t>
        </is>
      </c>
      <c r="D39" s="9" t="inlineStr">
        <is>
          <t>状态文本</t>
        </is>
      </c>
      <c r="E39" s="10" t="inlineStr">
        <is>
          <t>是</t>
        </is>
      </c>
      <c r="F39" s="9" t="inlineStr">
        <is>
          <t>合规状态人工确认</t>
        </is>
      </c>
      <c r="G39" s="9" t="inlineStr">
        <is>
          <t>合规项目台账</t>
        </is>
      </c>
      <c r="H39" s="9" t="inlineStr">
        <is>
          <t>法规合规团队</t>
        </is>
      </c>
      <c r="I39" s="9" t="inlineStr">
        <is>
          <t>内部受限</t>
        </is>
      </c>
      <c r="J39" s="9" t="inlineStr">
        <is>
          <t>VAL-006</t>
        </is>
      </c>
      <c r="K39" s="20" t="inlineStr">
        <is>
          <t>需建立正式核验链</t>
        </is>
      </c>
      <c r="L39" s="20" t="inlineStr">
        <is>
          <t>部分可引用</t>
        </is>
      </c>
      <c r="M39" s="9" t="inlineStr">
        <is>
          <t>补齐正式证据包并挂到证据台账</t>
        </is>
      </c>
      <c r="N39" s="9" t="inlineStr">
        <is>
          <t>EU</t>
        </is>
      </c>
      <c r="O39" s="9" t="inlineStr">
        <is>
          <t>Annex VIII 关键材料</t>
        </is>
      </c>
    </row>
    <row r="40" ht="27" customHeight="1" s="30">
      <c r="A40" s="9" t="inlineStr">
        <is>
          <t>B. 合规准备状态</t>
        </is>
      </c>
      <c r="B40" s="9" t="inlineStr">
        <is>
          <t>third_party_verification_status</t>
        </is>
      </c>
      <c r="C40" s="9" t="inlineStr">
        <is>
          <t>第三方核验状态</t>
        </is>
      </c>
      <c r="D40" s="9" t="inlineStr">
        <is>
          <t>状态文本</t>
        </is>
      </c>
      <c r="E40" s="10" t="inlineStr">
        <is>
          <t>是</t>
        </is>
      </c>
      <c r="F40" s="9" t="inlineStr">
        <is>
          <t>合规状态人工确认</t>
        </is>
      </c>
      <c r="G40" s="9" t="inlineStr">
        <is>
          <t>合规项目台账</t>
        </is>
      </c>
      <c r="H40" s="9" t="inlineStr">
        <is>
          <t>法规合规团队</t>
        </is>
      </c>
      <c r="I40" s="9" t="inlineStr">
        <is>
          <t>内部受限</t>
        </is>
      </c>
      <c r="J40" s="9" t="inlineStr">
        <is>
          <t>VAL-006</t>
        </is>
      </c>
      <c r="K40" s="20" t="inlineStr">
        <is>
          <t>需建立正式核验链</t>
        </is>
      </c>
      <c r="L40" s="20" t="inlineStr">
        <is>
          <t>部分可引用</t>
        </is>
      </c>
      <c r="M40" s="9" t="inlineStr">
        <is>
          <t>补齐正式证据包并挂到证据台账</t>
        </is>
      </c>
      <c r="N40" s="9" t="inlineStr">
        <is>
          <t>EU+CBAM</t>
        </is>
      </c>
      <c r="O40" s="9" t="inlineStr">
        <is>
          <t>碳足迹/再生料/上游 PCF 关键状态</t>
        </is>
      </c>
    </row>
    <row r="41" ht="27" customHeight="1" s="30">
      <c r="A41" s="9" t="inlineStr">
        <is>
          <t>B. 合规准备状态</t>
        </is>
      </c>
      <c r="B41" s="9" t="inlineStr">
        <is>
          <t>passport_data_package_status</t>
        </is>
      </c>
      <c r="C41" s="9" t="inlineStr">
        <is>
          <t>护照数据包状态</t>
        </is>
      </c>
      <c r="D41" s="9" t="inlineStr">
        <is>
          <t>状态文本</t>
        </is>
      </c>
      <c r="E41" s="10" t="inlineStr">
        <is>
          <t>是</t>
        </is>
      </c>
      <c r="F41" s="9" t="inlineStr">
        <is>
          <t>合规状态人工确认</t>
        </is>
      </c>
      <c r="G41" s="9" t="inlineStr">
        <is>
          <t>合规项目台账</t>
        </is>
      </c>
      <c r="H41" s="9" t="inlineStr">
        <is>
          <t>法规合规团队</t>
        </is>
      </c>
      <c r="I41" s="9" t="inlineStr">
        <is>
          <t>内部受限</t>
        </is>
      </c>
      <c r="J41" s="9" t="inlineStr">
        <is>
          <t>VAL-006</t>
        </is>
      </c>
      <c r="K41" s="20" t="inlineStr">
        <is>
          <t>需建立正式核验链</t>
        </is>
      </c>
      <c r="L41" s="20" t="inlineStr">
        <is>
          <t>部分可引用</t>
        </is>
      </c>
      <c r="M41" s="9" t="inlineStr">
        <is>
          <t>补齐正式证据包并挂到证据台账</t>
        </is>
      </c>
      <c r="N41" s="9" t="inlineStr">
        <is>
          <t>EU</t>
        </is>
      </c>
      <c r="O41" s="9" t="inlineStr">
        <is>
          <t>决定护照对象能否生成</t>
        </is>
      </c>
    </row>
    <row r="42" ht="27" customHeight="1" s="30">
      <c r="A42" s="9" t="inlineStr">
        <is>
          <t>B. 合规准备状态</t>
        </is>
      </c>
      <c r="B42" s="9" t="inlineStr">
        <is>
          <t>access_matrix_status</t>
        </is>
      </c>
      <c r="C42" s="9" t="inlineStr">
        <is>
          <t>分层访问矩阵状态</t>
        </is>
      </c>
      <c r="D42" s="9" t="inlineStr">
        <is>
          <t>状态文本</t>
        </is>
      </c>
      <c r="E42" s="10" t="inlineStr">
        <is>
          <t>是</t>
        </is>
      </c>
      <c r="F42" s="9" t="inlineStr">
        <is>
          <t>合规状态人工确认</t>
        </is>
      </c>
      <c r="G42" s="9" t="inlineStr">
        <is>
          <t>合规项目台账</t>
        </is>
      </c>
      <c r="H42" s="9" t="inlineStr">
        <is>
          <t>法规合规团队</t>
        </is>
      </c>
      <c r="I42" s="9" t="inlineStr">
        <is>
          <t>内部受限</t>
        </is>
      </c>
      <c r="J42" s="9" t="inlineStr">
        <is>
          <t>VAL-006</t>
        </is>
      </c>
      <c r="K42" s="20" t="inlineStr">
        <is>
          <t>需建立正式核验链</t>
        </is>
      </c>
      <c r="L42" s="20" t="inlineStr">
        <is>
          <t>部分可引用</t>
        </is>
      </c>
      <c r="M42" s="9" t="inlineStr">
        <is>
          <t>补齐正式证据包并挂到证据台账</t>
        </is>
      </c>
      <c r="N42" s="9" t="inlineStr">
        <is>
          <t>EU+CBAM</t>
        </is>
      </c>
      <c r="O42" s="9" t="inlineStr">
        <is>
          <t>保护数据主权的关键控制项</t>
        </is>
      </c>
    </row>
    <row r="43" ht="27" customHeight="1" s="30">
      <c r="A43" s="9" t="inlineStr">
        <is>
          <t>B. 合规准备状态</t>
        </is>
      </c>
      <c r="B43" s="9" t="inlineStr">
        <is>
          <t>supplier_traceability_coverage_pct</t>
        </is>
      </c>
      <c r="C43" s="9" t="inlineStr">
        <is>
          <t>供应链追溯覆盖率</t>
        </is>
      </c>
      <c r="D43" s="9" t="inlineStr">
        <is>
          <t>百分比(0-1小数)</t>
        </is>
      </c>
      <c r="E43" s="10" t="inlineStr">
        <is>
          <t>是</t>
        </is>
      </c>
      <c r="F43" s="9" t="inlineStr">
        <is>
          <t>合规状态人工确认</t>
        </is>
      </c>
      <c r="G43" s="9" t="inlineStr">
        <is>
          <t>合规项目台账</t>
        </is>
      </c>
      <c r="H43" s="9" t="inlineStr">
        <is>
          <t>法规合规团队</t>
        </is>
      </c>
      <c r="I43" s="9" t="inlineStr">
        <is>
          <t>内部受限</t>
        </is>
      </c>
      <c r="J43" s="9" t="inlineStr">
        <is>
          <t>VAL-007</t>
        </is>
      </c>
      <c r="K43" s="20" t="inlineStr">
        <is>
          <t>需建立正式核验链</t>
        </is>
      </c>
      <c r="L43" s="20" t="inlineStr">
        <is>
          <t>部分可引用</t>
        </is>
      </c>
      <c r="M43" s="9" t="inlineStr">
        <is>
          <t>补齐正式证据包并挂到证据台账</t>
        </is>
      </c>
      <c r="N43" s="9" t="inlineStr">
        <is>
          <t>EU+CBAM</t>
        </is>
      </c>
      <c r="O43" s="9" t="inlineStr">
        <is>
          <t>越高越能支撑尽调与追溯</t>
        </is>
      </c>
    </row>
    <row r="44" ht="27" customHeight="1" s="30">
      <c r="A44" s="9" t="inlineStr">
        <is>
          <t>B. 合规准备状态</t>
        </is>
      </c>
      <c r="B44" s="9" t="inlineStr">
        <is>
          <t>supplier_pcf_coverage_pct</t>
        </is>
      </c>
      <c r="C44" s="9" t="inlineStr">
        <is>
          <t>供应商 PCF 覆盖率</t>
        </is>
      </c>
      <c r="D44" s="9" t="inlineStr">
        <is>
          <t>百分比(0-1小数)</t>
        </is>
      </c>
      <c r="E44" s="10" t="inlineStr">
        <is>
          <t>是</t>
        </is>
      </c>
      <c r="F44" s="9" t="inlineStr">
        <is>
          <t>合规状态人工确认</t>
        </is>
      </c>
      <c r="G44" s="9" t="inlineStr">
        <is>
          <t>合规项目台账</t>
        </is>
      </c>
      <c r="H44" s="9" t="inlineStr">
        <is>
          <t>法规合规团队</t>
        </is>
      </c>
      <c r="I44" s="9" t="inlineStr">
        <is>
          <t>内部受限</t>
        </is>
      </c>
      <c r="J44" s="9" t="inlineStr">
        <is>
          <t>VAL-007</t>
        </is>
      </c>
      <c r="K44" s="20" t="inlineStr">
        <is>
          <t>需建立正式核验链</t>
        </is>
      </c>
      <c r="L44" s="20" t="inlineStr">
        <is>
          <t>部分可引用</t>
        </is>
      </c>
      <c r="M44" s="9" t="inlineStr">
        <is>
          <t>补齐正式证据包并挂到证据台账</t>
        </is>
      </c>
      <c r="N44" s="9" t="inlineStr">
        <is>
          <t>EU+CBAM</t>
        </is>
      </c>
      <c r="O44" s="9" t="inlineStr">
        <is>
          <t>决定上游碳数据基础强度</t>
        </is>
      </c>
    </row>
    <row r="45" ht="40.5" customHeight="1" s="30">
      <c r="A45" s="9" t="inlineStr">
        <is>
          <t>B. 合规准备状态</t>
        </is>
      </c>
      <c r="B45" s="9" t="inlineStr">
        <is>
          <t>critical_material_scope</t>
        </is>
      </c>
      <c r="C45" s="9" t="inlineStr">
        <is>
          <t>关键原材料追溯范围</t>
        </is>
      </c>
      <c r="D45" s="9" t="inlineStr">
        <is>
          <t>文本</t>
        </is>
      </c>
      <c r="E45" s="10" t="inlineStr">
        <is>
          <t>是</t>
        </is>
      </c>
      <c r="F45" s="9" t="inlineStr">
        <is>
          <t>合规状态人工确认</t>
        </is>
      </c>
      <c r="G45" s="9" t="inlineStr">
        <is>
          <t>合规项目台账</t>
        </is>
      </c>
      <c r="H45" s="9" t="inlineStr">
        <is>
          <t>法规合规团队</t>
        </is>
      </c>
      <c r="I45" s="9" t="inlineStr">
        <is>
          <t>内部受限</t>
        </is>
      </c>
      <c r="J45" s="9" t="inlineStr">
        <is>
          <t>VAL-001</t>
        </is>
      </c>
      <c r="K45" s="20" t="inlineStr">
        <is>
          <t>需建立正式核验链</t>
        </is>
      </c>
      <c r="L45" s="20" t="inlineStr">
        <is>
          <t>部分可引用</t>
        </is>
      </c>
      <c r="M45" s="9" t="inlineStr">
        <is>
          <t>补齐正式证据包并挂到证据台账</t>
        </is>
      </c>
      <c r="N45" s="9" t="inlineStr">
        <is>
          <t>EU+CBAM</t>
        </is>
      </c>
      <c r="O45" s="9" t="inlineStr">
        <is>
          <t>当前模板默认覆盖的关键原材料，可按实际产品扩展或缩减</t>
        </is>
      </c>
    </row>
    <row r="46" ht="27" customHeight="1" s="30">
      <c r="A46" s="9" t="inlineStr">
        <is>
          <t>C. 材料用量</t>
        </is>
      </c>
      <c r="B46" s="9" t="inlineStr">
        <is>
          <t>cathode_mass_kg</t>
        </is>
      </c>
      <c r="C46" s="9" t="inlineStr">
        <is>
          <t>正极材料质量</t>
        </is>
      </c>
      <c r="D46" s="9" t="inlineStr">
        <is>
          <t>数值</t>
        </is>
      </c>
      <c r="E46" s="10" t="inlineStr">
        <is>
          <t>是</t>
        </is>
      </c>
      <c r="F46" s="9" t="inlineStr">
        <is>
          <t>BOM/配方数据录入</t>
        </is>
      </c>
      <c r="G46" s="9" t="inlineStr">
        <is>
          <t>ERP+BOM+PLM</t>
        </is>
      </c>
      <c r="H46" s="9" t="inlineStr">
        <is>
          <t>研发BOM/LCA团队</t>
        </is>
      </c>
      <c r="I46" s="9" t="inlineStr">
        <is>
          <t>商业敏感</t>
        </is>
      </c>
      <c r="J46" s="9" t="inlineStr">
        <is>
          <t>VAL-008</t>
        </is>
      </c>
      <c r="K46" s="20" t="inlineStr">
        <is>
          <t>需绑定供应商/工厂明细</t>
        </is>
      </c>
      <c r="L46" s="10" t="inlineStr">
        <is>
          <t>不可直接引用</t>
        </is>
      </c>
      <c r="M46" s="9" t="inlineStr">
        <is>
          <t>补到供应商/材料级并绑定真实BOM</t>
        </is>
      </c>
      <c r="N46" s="9" t="inlineStr">
        <is>
          <t>EU</t>
        </is>
      </c>
      <c r="O46" s="9" t="inlineStr">
        <is>
          <t>按当前申报单元填报，而不是默认按单个电池包填报</t>
        </is>
      </c>
    </row>
    <row r="47" ht="27" customHeight="1" s="30">
      <c r="A47" s="9" t="inlineStr">
        <is>
          <t>C. 材料用量</t>
        </is>
      </c>
      <c r="B47" s="9" t="inlineStr">
        <is>
          <t>anode_mass_kg</t>
        </is>
      </c>
      <c r="C47" s="9" t="inlineStr">
        <is>
          <t>负极材料质量</t>
        </is>
      </c>
      <c r="D47" s="9" t="inlineStr">
        <is>
          <t>数值</t>
        </is>
      </c>
      <c r="E47" s="10" t="inlineStr">
        <is>
          <t>是</t>
        </is>
      </c>
      <c r="F47" s="9" t="inlineStr">
        <is>
          <t>BOM/配方数据录入</t>
        </is>
      </c>
      <c r="G47" s="9" t="inlineStr">
        <is>
          <t>ERP+BOM+PLM</t>
        </is>
      </c>
      <c r="H47" s="9" t="inlineStr">
        <is>
          <t>研发BOM/LCA团队</t>
        </is>
      </c>
      <c r="I47" s="9" t="inlineStr">
        <is>
          <t>商业敏感</t>
        </is>
      </c>
      <c r="J47" s="9" t="inlineStr">
        <is>
          <t>VAL-008</t>
        </is>
      </c>
      <c r="K47" s="20" t="inlineStr">
        <is>
          <t>需绑定供应商/工厂明细</t>
        </is>
      </c>
      <c r="L47" s="10" t="inlineStr">
        <is>
          <t>不可直接引用</t>
        </is>
      </c>
      <c r="M47" s="9" t="inlineStr">
        <is>
          <t>补到供应商/材料级并绑定真实BOM</t>
        </is>
      </c>
      <c r="N47" s="9" t="inlineStr">
        <is>
          <t>EU</t>
        </is>
      </c>
      <c r="O47" s="9" t="inlineStr">
        <is>
          <t>按当前申报单元填报，而不是默认按单个电池包填报</t>
        </is>
      </c>
    </row>
    <row r="48" ht="27" customHeight="1" s="30">
      <c r="A48" s="9" t="inlineStr">
        <is>
          <t>C. 材料用量</t>
        </is>
      </c>
      <c r="B48" s="9" t="inlineStr">
        <is>
          <t>electrolyte_mass_kg</t>
        </is>
      </c>
      <c r="C48" s="9" t="inlineStr">
        <is>
          <t>电解液质量</t>
        </is>
      </c>
      <c r="D48" s="9" t="inlineStr">
        <is>
          <t>数值</t>
        </is>
      </c>
      <c r="E48" s="10" t="inlineStr">
        <is>
          <t>是</t>
        </is>
      </c>
      <c r="F48" s="9" t="inlineStr">
        <is>
          <t>BOM/配方数据录入</t>
        </is>
      </c>
      <c r="G48" s="9" t="inlineStr">
        <is>
          <t>ERP+BOM+PLM</t>
        </is>
      </c>
      <c r="H48" s="9" t="inlineStr">
        <is>
          <t>研发BOM/LCA团队</t>
        </is>
      </c>
      <c r="I48" s="9" t="inlineStr">
        <is>
          <t>商业敏感</t>
        </is>
      </c>
      <c r="J48" s="9" t="inlineStr">
        <is>
          <t>VAL-008</t>
        </is>
      </c>
      <c r="K48" s="20" t="inlineStr">
        <is>
          <t>需绑定供应商/工厂明细</t>
        </is>
      </c>
      <c r="L48" s="10" t="inlineStr">
        <is>
          <t>不可直接引用</t>
        </is>
      </c>
      <c r="M48" s="9" t="inlineStr">
        <is>
          <t>补到供应商/材料级并绑定真实BOM</t>
        </is>
      </c>
      <c r="N48" s="9" t="inlineStr">
        <is>
          <t>EU</t>
        </is>
      </c>
      <c r="O48" s="9" t="inlineStr">
        <is>
          <t>按当前申报单元填报，而不是默认按单个电池包填报</t>
        </is>
      </c>
    </row>
    <row r="49" ht="27" customHeight="1" s="30">
      <c r="A49" s="9" t="inlineStr">
        <is>
          <t>C. 材料用量</t>
        </is>
      </c>
      <c r="B49" s="9" t="inlineStr">
        <is>
          <t>separator_mass_kg</t>
        </is>
      </c>
      <c r="C49" s="9" t="inlineStr">
        <is>
          <t>隔膜质量</t>
        </is>
      </c>
      <c r="D49" s="9" t="inlineStr">
        <is>
          <t>数值</t>
        </is>
      </c>
      <c r="E49" s="10" t="inlineStr">
        <is>
          <t>是</t>
        </is>
      </c>
      <c r="F49" s="9" t="inlineStr">
        <is>
          <t>BOM/配方数据录入</t>
        </is>
      </c>
      <c r="G49" s="9" t="inlineStr">
        <is>
          <t>ERP+BOM+PLM</t>
        </is>
      </c>
      <c r="H49" s="9" t="inlineStr">
        <is>
          <t>研发BOM/LCA团队</t>
        </is>
      </c>
      <c r="I49" s="9" t="inlineStr">
        <is>
          <t>商业敏感</t>
        </is>
      </c>
      <c r="J49" s="9" t="inlineStr">
        <is>
          <t>VAL-008</t>
        </is>
      </c>
      <c r="K49" s="20" t="inlineStr">
        <is>
          <t>需绑定供应商/工厂明细</t>
        </is>
      </c>
      <c r="L49" s="10" t="inlineStr">
        <is>
          <t>不可直接引用</t>
        </is>
      </c>
      <c r="M49" s="9" t="inlineStr">
        <is>
          <t>补到供应商/材料级并绑定真实BOM</t>
        </is>
      </c>
      <c r="N49" s="9" t="inlineStr">
        <is>
          <t>EU</t>
        </is>
      </c>
      <c r="O49" s="9" t="inlineStr">
        <is>
          <t>按当前申报单元填报，而不是默认按单个电池包填报</t>
        </is>
      </c>
    </row>
    <row r="50" ht="27" customHeight="1" s="30">
      <c r="A50" s="9" t="inlineStr">
        <is>
          <t>C. 材料用量</t>
        </is>
      </c>
      <c r="B50" s="9" t="inlineStr">
        <is>
          <t>copper_mass_kg</t>
        </is>
      </c>
      <c r="C50" s="9" t="inlineStr">
        <is>
          <t>铜材质量</t>
        </is>
      </c>
      <c r="D50" s="9" t="inlineStr">
        <is>
          <t>数值</t>
        </is>
      </c>
      <c r="E50" s="10" t="inlineStr">
        <is>
          <t>是</t>
        </is>
      </c>
      <c r="F50" s="9" t="inlineStr">
        <is>
          <t>BOM/配方数据录入</t>
        </is>
      </c>
      <c r="G50" s="9" t="inlineStr">
        <is>
          <t>ERP+BOM+PLM</t>
        </is>
      </c>
      <c r="H50" s="9" t="inlineStr">
        <is>
          <t>研发BOM/LCA团队</t>
        </is>
      </c>
      <c r="I50" s="9" t="inlineStr">
        <is>
          <t>商业敏感</t>
        </is>
      </c>
      <c r="J50" s="9" t="inlineStr">
        <is>
          <t>VAL-008</t>
        </is>
      </c>
      <c r="K50" s="20" t="inlineStr">
        <is>
          <t>需绑定供应商/工厂明细</t>
        </is>
      </c>
      <c r="L50" s="10" t="inlineStr">
        <is>
          <t>不可直接引用</t>
        </is>
      </c>
      <c r="M50" s="9" t="inlineStr">
        <is>
          <t>补到供应商/材料级并绑定真实BOM</t>
        </is>
      </c>
      <c r="N50" s="9" t="inlineStr">
        <is>
          <t>EU</t>
        </is>
      </c>
      <c r="O50" s="9" t="inlineStr">
        <is>
          <t>按当前申报单元填报，而不是默认按单个电池包填报</t>
        </is>
      </c>
    </row>
    <row r="51" ht="27" customHeight="1" s="30">
      <c r="A51" s="9" t="inlineStr">
        <is>
          <t>C. 材料用量</t>
        </is>
      </c>
      <c r="B51" s="9" t="inlineStr">
        <is>
          <t>aluminium_mass_kg</t>
        </is>
      </c>
      <c r="C51" s="9" t="inlineStr">
        <is>
          <t>铝材质量</t>
        </is>
      </c>
      <c r="D51" s="9" t="inlineStr">
        <is>
          <t>数值</t>
        </is>
      </c>
      <c r="E51" s="10" t="inlineStr">
        <is>
          <t>是</t>
        </is>
      </c>
      <c r="F51" s="9" t="inlineStr">
        <is>
          <t>BOM/配方数据录入</t>
        </is>
      </c>
      <c r="G51" s="9" t="inlineStr">
        <is>
          <t>ERP+BOM+PLM</t>
        </is>
      </c>
      <c r="H51" s="9" t="inlineStr">
        <is>
          <t>研发BOM/LCA团队</t>
        </is>
      </c>
      <c r="I51" s="9" t="inlineStr">
        <is>
          <t>商业敏感</t>
        </is>
      </c>
      <c r="J51" s="9" t="inlineStr">
        <is>
          <t>VAL-008</t>
        </is>
      </c>
      <c r="K51" s="20" t="inlineStr">
        <is>
          <t>需绑定供应商/工厂明细</t>
        </is>
      </c>
      <c r="L51" s="10" t="inlineStr">
        <is>
          <t>不可直接引用</t>
        </is>
      </c>
      <c r="M51" s="9" t="inlineStr">
        <is>
          <t>补到供应商/材料级并绑定真实BOM</t>
        </is>
      </c>
      <c r="N51" s="9" t="inlineStr">
        <is>
          <t>EU+CBAM</t>
        </is>
      </c>
      <c r="O51" s="9" t="inlineStr">
        <is>
          <t>按当前申报单元填报，而不是默认按单个电池包填报</t>
        </is>
      </c>
    </row>
    <row r="52" ht="27" customHeight="1" s="30">
      <c r="A52" s="9" t="inlineStr">
        <is>
          <t>C. 材料用量</t>
        </is>
      </c>
      <c r="B52" s="9" t="inlineStr">
        <is>
          <t>steel_mass_kg</t>
        </is>
      </c>
      <c r="C52" s="9" t="inlineStr">
        <is>
          <t>钢材质量</t>
        </is>
      </c>
      <c r="D52" s="9" t="inlineStr">
        <is>
          <t>数值</t>
        </is>
      </c>
      <c r="E52" s="10" t="inlineStr">
        <is>
          <t>是</t>
        </is>
      </c>
      <c r="F52" s="9" t="inlineStr">
        <is>
          <t>BOM/配方数据录入</t>
        </is>
      </c>
      <c r="G52" s="9" t="inlineStr">
        <is>
          <t>ERP+BOM+PLM</t>
        </is>
      </c>
      <c r="H52" s="9" t="inlineStr">
        <is>
          <t>研发BOM/LCA团队</t>
        </is>
      </c>
      <c r="I52" s="9" t="inlineStr">
        <is>
          <t>商业敏感</t>
        </is>
      </c>
      <c r="J52" s="9" t="inlineStr">
        <is>
          <t>VAL-008</t>
        </is>
      </c>
      <c r="K52" s="20" t="inlineStr">
        <is>
          <t>需绑定供应商/工厂明细</t>
        </is>
      </c>
      <c r="L52" s="10" t="inlineStr">
        <is>
          <t>不可直接引用</t>
        </is>
      </c>
      <c r="M52" s="9" t="inlineStr">
        <is>
          <t>补到供应商/材料级并绑定真实BOM</t>
        </is>
      </c>
      <c r="N52" s="9" t="inlineStr">
        <is>
          <t>EU+CBAM</t>
        </is>
      </c>
      <c r="O52" s="9" t="inlineStr">
        <is>
          <t>按当前申报单元填报，而不是默认按单个电池包填报</t>
        </is>
      </c>
    </row>
    <row r="53" ht="27" customHeight="1" s="30">
      <c r="A53" s="9" t="inlineStr">
        <is>
          <t>C. 材料用量</t>
        </is>
      </c>
      <c r="B53" s="9" t="inlineStr">
        <is>
          <t>plastic_mass_kg</t>
        </is>
      </c>
      <c r="C53" s="9" t="inlineStr">
        <is>
          <t>塑料件质量</t>
        </is>
      </c>
      <c r="D53" s="9" t="inlineStr">
        <is>
          <t>数值</t>
        </is>
      </c>
      <c r="E53" s="10" t="inlineStr">
        <is>
          <t>是</t>
        </is>
      </c>
      <c r="F53" s="9" t="inlineStr">
        <is>
          <t>BOM/配方数据录入</t>
        </is>
      </c>
      <c r="G53" s="9" t="inlineStr">
        <is>
          <t>ERP+BOM+PLM</t>
        </is>
      </c>
      <c r="H53" s="9" t="inlineStr">
        <is>
          <t>研发BOM/LCA团队</t>
        </is>
      </c>
      <c r="I53" s="9" t="inlineStr">
        <is>
          <t>商业敏感</t>
        </is>
      </c>
      <c r="J53" s="9" t="inlineStr">
        <is>
          <t>VAL-008</t>
        </is>
      </c>
      <c r="K53" s="20" t="inlineStr">
        <is>
          <t>需绑定供应商/工厂明细</t>
        </is>
      </c>
      <c r="L53" s="10" t="inlineStr">
        <is>
          <t>不可直接引用</t>
        </is>
      </c>
      <c r="M53" s="9" t="inlineStr">
        <is>
          <t>补到供应商/材料级并绑定真实BOM</t>
        </is>
      </c>
      <c r="N53" s="9" t="inlineStr">
        <is>
          <t>EU</t>
        </is>
      </c>
      <c r="O53" s="9" t="inlineStr">
        <is>
          <t>按当前申报单元填报，而不是默认按单个电池包填报</t>
        </is>
      </c>
    </row>
    <row r="54" ht="27" customHeight="1" s="30">
      <c r="A54" s="9" t="inlineStr">
        <is>
          <t>C. 材料用量</t>
        </is>
      </c>
      <c r="B54" s="9" t="inlineStr">
        <is>
          <t>other_material_mass_kg</t>
        </is>
      </c>
      <c r="C54" s="9" t="inlineStr">
        <is>
          <t>其他材料质量</t>
        </is>
      </c>
      <c r="D54" s="9" t="inlineStr">
        <is>
          <t>数值</t>
        </is>
      </c>
      <c r="E54" s="10" t="inlineStr">
        <is>
          <t>是</t>
        </is>
      </c>
      <c r="F54" s="9" t="inlineStr">
        <is>
          <t>BOM/配方数据录入</t>
        </is>
      </c>
      <c r="G54" s="9" t="inlineStr">
        <is>
          <t>ERP+BOM+PLM</t>
        </is>
      </c>
      <c r="H54" s="9" t="inlineStr">
        <is>
          <t>研发BOM/LCA团队</t>
        </is>
      </c>
      <c r="I54" s="9" t="inlineStr">
        <is>
          <t>商业敏感</t>
        </is>
      </c>
      <c r="J54" s="9" t="inlineStr">
        <is>
          <t>VAL-008</t>
        </is>
      </c>
      <c r="K54" s="20" t="inlineStr">
        <is>
          <t>需绑定供应商/工厂明细</t>
        </is>
      </c>
      <c r="L54" s="10" t="inlineStr">
        <is>
          <t>不可直接引用</t>
        </is>
      </c>
      <c r="M54" s="9" t="inlineStr">
        <is>
          <t>补到供应商/材料级并绑定真实BOM</t>
        </is>
      </c>
      <c r="N54" s="9" t="inlineStr">
        <is>
          <t>EU</t>
        </is>
      </c>
      <c r="O54" s="9" t="inlineStr">
        <is>
          <t>按当前申报单元填报，而不是默认按单个电池包填报</t>
        </is>
      </c>
    </row>
    <row r="55" ht="27" customHeight="1" s="30">
      <c r="A55" s="9" t="inlineStr">
        <is>
          <t>D. 材料排放因子</t>
        </is>
      </c>
      <c r="B55" s="9" t="inlineStr">
        <is>
          <t>cathode_pcf</t>
        </is>
      </c>
      <c r="C55" s="9" t="inlineStr">
        <is>
          <t>正极材料排放因子</t>
        </is>
      </c>
      <c r="D55" s="9" t="inlineStr">
        <is>
          <t>数值</t>
        </is>
      </c>
      <c r="E55" s="10" t="inlineStr">
        <is>
          <t>是</t>
        </is>
      </c>
      <c r="F55" s="9" t="inlineStr">
        <is>
          <t>供应商PCF/因子库录入</t>
        </is>
      </c>
      <c r="G55" s="9" t="inlineStr">
        <is>
          <t>供应商PCF库/因子库</t>
        </is>
      </c>
      <c r="H55" s="9" t="inlineStr">
        <is>
          <t>采购与碳核算团队</t>
        </is>
      </c>
      <c r="I55" s="9" t="inlineStr">
        <is>
          <t>商业敏感</t>
        </is>
      </c>
      <c r="J55" s="9" t="inlineStr">
        <is>
          <t>VAL-009</t>
        </is>
      </c>
      <c r="K55" s="20" t="inlineStr">
        <is>
          <t>需欧盟口径转换</t>
        </is>
      </c>
      <c r="L55" s="10" t="inlineStr">
        <is>
          <t>不可直接引用</t>
        </is>
      </c>
      <c r="M55" s="9" t="inlineStr">
        <is>
          <t>建立中国口径到欧盟口径的因子转换规则</t>
        </is>
      </c>
      <c r="N55" s="9" t="inlineStr">
        <is>
          <t>EU</t>
        </is>
      </c>
      <c r="O55" s="9" t="inlineStr">
        <is>
          <t>供应商 PCF 或行业因子</t>
        </is>
      </c>
    </row>
    <row r="56" ht="27" customHeight="1" s="30">
      <c r="A56" s="9" t="inlineStr">
        <is>
          <t>D. 材料排放因子</t>
        </is>
      </c>
      <c r="B56" s="9" t="inlineStr">
        <is>
          <t>anode_pcf</t>
        </is>
      </c>
      <c r="C56" s="9" t="inlineStr">
        <is>
          <t>负极材料排放因子</t>
        </is>
      </c>
      <c r="D56" s="9" t="inlineStr">
        <is>
          <t>数值</t>
        </is>
      </c>
      <c r="E56" s="10" t="inlineStr">
        <is>
          <t>是</t>
        </is>
      </c>
      <c r="F56" s="9" t="inlineStr">
        <is>
          <t>供应商PCF/因子库录入</t>
        </is>
      </c>
      <c r="G56" s="9" t="inlineStr">
        <is>
          <t>供应商PCF库/因子库</t>
        </is>
      </c>
      <c r="H56" s="9" t="inlineStr">
        <is>
          <t>采购与碳核算团队</t>
        </is>
      </c>
      <c r="I56" s="9" t="inlineStr">
        <is>
          <t>商业敏感</t>
        </is>
      </c>
      <c r="J56" s="9" t="inlineStr">
        <is>
          <t>VAL-009</t>
        </is>
      </c>
      <c r="K56" s="20" t="inlineStr">
        <is>
          <t>需欧盟口径转换</t>
        </is>
      </c>
      <c r="L56" s="10" t="inlineStr">
        <is>
          <t>不可直接引用</t>
        </is>
      </c>
      <c r="M56" s="9" t="inlineStr">
        <is>
          <t>建立中国口径到欧盟口径的因子转换规则</t>
        </is>
      </c>
      <c r="N56" s="9" t="inlineStr">
        <is>
          <t>EU</t>
        </is>
      </c>
      <c r="O56" s="9" t="inlineStr">
        <is>
          <t>供应商 PCF 或行业因子</t>
        </is>
      </c>
    </row>
    <row r="57" ht="27" customHeight="1" s="30">
      <c r="A57" s="9" t="inlineStr">
        <is>
          <t>D. 材料排放因子</t>
        </is>
      </c>
      <c r="B57" s="9" t="inlineStr">
        <is>
          <t>electrolyte_pcf</t>
        </is>
      </c>
      <c r="C57" s="9" t="inlineStr">
        <is>
          <t>电解液排放因子</t>
        </is>
      </c>
      <c r="D57" s="9" t="inlineStr">
        <is>
          <t>数值</t>
        </is>
      </c>
      <c r="E57" s="10" t="inlineStr">
        <is>
          <t>是</t>
        </is>
      </c>
      <c r="F57" s="9" t="inlineStr">
        <is>
          <t>供应商PCF/因子库录入</t>
        </is>
      </c>
      <c r="G57" s="9" t="inlineStr">
        <is>
          <t>供应商PCF库/因子库</t>
        </is>
      </c>
      <c r="H57" s="9" t="inlineStr">
        <is>
          <t>采购与碳核算团队</t>
        </is>
      </c>
      <c r="I57" s="9" t="inlineStr">
        <is>
          <t>商业敏感</t>
        </is>
      </c>
      <c r="J57" s="9" t="inlineStr">
        <is>
          <t>VAL-009</t>
        </is>
      </c>
      <c r="K57" s="20" t="inlineStr">
        <is>
          <t>需欧盟口径转换</t>
        </is>
      </c>
      <c r="L57" s="10" t="inlineStr">
        <is>
          <t>不可直接引用</t>
        </is>
      </c>
      <c r="M57" s="9" t="inlineStr">
        <is>
          <t>建立中国口径到欧盟口径的因子转换规则</t>
        </is>
      </c>
      <c r="N57" s="9" t="inlineStr">
        <is>
          <t>EU</t>
        </is>
      </c>
      <c r="O57" s="9" t="inlineStr">
        <is>
          <t>供应商 PCF 或行业因子</t>
        </is>
      </c>
    </row>
    <row r="58" ht="27" customHeight="1" s="30">
      <c r="A58" s="9" t="inlineStr">
        <is>
          <t>D. 材料排放因子</t>
        </is>
      </c>
      <c r="B58" s="9" t="inlineStr">
        <is>
          <t>separator_pcf</t>
        </is>
      </c>
      <c r="C58" s="9" t="inlineStr">
        <is>
          <t>隔膜排放因子</t>
        </is>
      </c>
      <c r="D58" s="9" t="inlineStr">
        <is>
          <t>数值</t>
        </is>
      </c>
      <c r="E58" s="10" t="inlineStr">
        <is>
          <t>是</t>
        </is>
      </c>
      <c r="F58" s="9" t="inlineStr">
        <is>
          <t>供应商PCF/因子库录入</t>
        </is>
      </c>
      <c r="G58" s="9" t="inlineStr">
        <is>
          <t>供应商PCF库/因子库</t>
        </is>
      </c>
      <c r="H58" s="9" t="inlineStr">
        <is>
          <t>采购与碳核算团队</t>
        </is>
      </c>
      <c r="I58" s="9" t="inlineStr">
        <is>
          <t>商业敏感</t>
        </is>
      </c>
      <c r="J58" s="9" t="inlineStr">
        <is>
          <t>VAL-009</t>
        </is>
      </c>
      <c r="K58" s="20" t="inlineStr">
        <is>
          <t>需欧盟口径转换</t>
        </is>
      </c>
      <c r="L58" s="10" t="inlineStr">
        <is>
          <t>不可直接引用</t>
        </is>
      </c>
      <c r="M58" s="9" t="inlineStr">
        <is>
          <t>建立中国口径到欧盟口径的因子转换规则</t>
        </is>
      </c>
      <c r="N58" s="9" t="inlineStr">
        <is>
          <t>EU</t>
        </is>
      </c>
      <c r="O58" s="9" t="inlineStr">
        <is>
          <t>供应商 PCF 或行业因子</t>
        </is>
      </c>
    </row>
    <row r="59" ht="27" customHeight="1" s="30">
      <c r="A59" s="9" t="inlineStr">
        <is>
          <t>D. 材料排放因子</t>
        </is>
      </c>
      <c r="B59" s="9" t="inlineStr">
        <is>
          <t>copper_pcf</t>
        </is>
      </c>
      <c r="C59" s="9" t="inlineStr">
        <is>
          <t>铜材排放因子</t>
        </is>
      </c>
      <c r="D59" s="9" t="inlineStr">
        <is>
          <t>数值</t>
        </is>
      </c>
      <c r="E59" s="10" t="inlineStr">
        <is>
          <t>是</t>
        </is>
      </c>
      <c r="F59" s="9" t="inlineStr">
        <is>
          <t>供应商PCF/因子库录入</t>
        </is>
      </c>
      <c r="G59" s="9" t="inlineStr">
        <is>
          <t>供应商PCF库/因子库</t>
        </is>
      </c>
      <c r="H59" s="9" t="inlineStr">
        <is>
          <t>采购与碳核算团队</t>
        </is>
      </c>
      <c r="I59" s="9" t="inlineStr">
        <is>
          <t>商业敏感</t>
        </is>
      </c>
      <c r="J59" s="9" t="inlineStr">
        <is>
          <t>VAL-009</t>
        </is>
      </c>
      <c r="K59" s="20" t="inlineStr">
        <is>
          <t>需欧盟口径转换</t>
        </is>
      </c>
      <c r="L59" s="10" t="inlineStr">
        <is>
          <t>不可直接引用</t>
        </is>
      </c>
      <c r="M59" s="9" t="inlineStr">
        <is>
          <t>建立中国口径到欧盟口径的因子转换规则</t>
        </is>
      </c>
      <c r="N59" s="9" t="inlineStr">
        <is>
          <t>EU</t>
        </is>
      </c>
      <c r="O59" s="9" t="inlineStr">
        <is>
          <t>供应商 PCF 或行业因子</t>
        </is>
      </c>
    </row>
    <row r="60" ht="27" customHeight="1" s="30">
      <c r="A60" s="9" t="inlineStr">
        <is>
          <t>D. 材料排放因子</t>
        </is>
      </c>
      <c r="B60" s="9" t="inlineStr">
        <is>
          <t>aluminium_direct_pcf</t>
        </is>
      </c>
      <c r="C60" s="9" t="inlineStr">
        <is>
          <t>铝材直接排放因子</t>
        </is>
      </c>
      <c r="D60" s="9" t="inlineStr">
        <is>
          <t>数值</t>
        </is>
      </c>
      <c r="E60" s="10" t="inlineStr">
        <is>
          <t>是</t>
        </is>
      </c>
      <c r="F60" s="9" t="inlineStr">
        <is>
          <t>供应商PCF/因子库录入</t>
        </is>
      </c>
      <c r="G60" s="9" t="inlineStr">
        <is>
          <t>供应商PCF库/因子库</t>
        </is>
      </c>
      <c r="H60" s="9" t="inlineStr">
        <is>
          <t>采购与碳核算团队</t>
        </is>
      </c>
      <c r="I60" s="9" t="inlineStr">
        <is>
          <t>商业敏感</t>
        </is>
      </c>
      <c r="J60" s="9" t="inlineStr">
        <is>
          <t>VAL-009</t>
        </is>
      </c>
      <c r="K60" s="20" t="inlineStr">
        <is>
          <t>需欧盟口径转换</t>
        </is>
      </c>
      <c r="L60" s="10" t="inlineStr">
        <is>
          <t>不可直接引用</t>
        </is>
      </c>
      <c r="M60" s="9" t="inlineStr">
        <is>
          <t>建立中国口径到欧盟口径的因子转换规则</t>
        </is>
      </c>
      <c r="N60" s="9" t="inlineStr">
        <is>
          <t>EU+CBAM</t>
        </is>
      </c>
      <c r="O60" s="9" t="inlineStr">
        <is>
          <t>可借用到 CBAM direct emissions</t>
        </is>
      </c>
    </row>
    <row r="61" ht="27" customHeight="1" s="30">
      <c r="A61" s="9" t="inlineStr">
        <is>
          <t>D. 材料排放因子</t>
        </is>
      </c>
      <c r="B61" s="9" t="inlineStr">
        <is>
          <t>aluminium_indirect_pcf</t>
        </is>
      </c>
      <c r="C61" s="9" t="inlineStr">
        <is>
          <t>铝材间接排放因子</t>
        </is>
      </c>
      <c r="D61" s="9" t="inlineStr">
        <is>
          <t>数值</t>
        </is>
      </c>
      <c r="E61" s="10" t="inlineStr">
        <is>
          <t>是</t>
        </is>
      </c>
      <c r="F61" s="9" t="inlineStr">
        <is>
          <t>供应商PCF/因子库录入</t>
        </is>
      </c>
      <c r="G61" s="9" t="inlineStr">
        <is>
          <t>供应商PCF库/因子库</t>
        </is>
      </c>
      <c r="H61" s="9" t="inlineStr">
        <is>
          <t>采购与碳核算团队</t>
        </is>
      </c>
      <c r="I61" s="9" t="inlineStr">
        <is>
          <t>商业敏感</t>
        </is>
      </c>
      <c r="J61" s="9" t="inlineStr">
        <is>
          <t>VAL-009</t>
        </is>
      </c>
      <c r="K61" s="20" t="inlineStr">
        <is>
          <t>需欧盟口径转换</t>
        </is>
      </c>
      <c r="L61" s="10" t="inlineStr">
        <is>
          <t>不可直接引用</t>
        </is>
      </c>
      <c r="M61" s="9" t="inlineStr">
        <is>
          <t>建立中国口径到欧盟口径的因子转换规则</t>
        </is>
      </c>
      <c r="N61" s="9" t="inlineStr">
        <is>
          <t>EU+CBAM</t>
        </is>
      </c>
      <c r="O61" s="9" t="inlineStr">
        <is>
          <t>可借用到 CBAM indirect emissions</t>
        </is>
      </c>
    </row>
    <row r="62" ht="27" customHeight="1" s="30">
      <c r="A62" s="9" t="inlineStr">
        <is>
          <t>D. 材料排放因子</t>
        </is>
      </c>
      <c r="B62" s="9" t="inlineStr">
        <is>
          <t>steel_direct_pcf</t>
        </is>
      </c>
      <c r="C62" s="9" t="inlineStr">
        <is>
          <t>钢材直接排放因子</t>
        </is>
      </c>
      <c r="D62" s="9" t="inlineStr">
        <is>
          <t>数值</t>
        </is>
      </c>
      <c r="E62" s="10" t="inlineStr">
        <is>
          <t>是</t>
        </is>
      </c>
      <c r="F62" s="9" t="inlineStr">
        <is>
          <t>供应商PCF/因子库录入</t>
        </is>
      </c>
      <c r="G62" s="9" t="inlineStr">
        <is>
          <t>供应商PCF库/因子库</t>
        </is>
      </c>
      <c r="H62" s="9" t="inlineStr">
        <is>
          <t>采购与碳核算团队</t>
        </is>
      </c>
      <c r="I62" s="9" t="inlineStr">
        <is>
          <t>商业敏感</t>
        </is>
      </c>
      <c r="J62" s="9" t="inlineStr">
        <is>
          <t>VAL-009</t>
        </is>
      </c>
      <c r="K62" s="20" t="inlineStr">
        <is>
          <t>需欧盟口径转换</t>
        </is>
      </c>
      <c r="L62" s="10" t="inlineStr">
        <is>
          <t>不可直接引用</t>
        </is>
      </c>
      <c r="M62" s="9" t="inlineStr">
        <is>
          <t>建立中国口径到欧盟口径的因子转换规则</t>
        </is>
      </c>
      <c r="N62" s="9" t="inlineStr">
        <is>
          <t>EU+CBAM</t>
        </is>
      </c>
      <c r="O62" s="9" t="inlineStr">
        <is>
          <t>可借用到 CBAM direct emissions</t>
        </is>
      </c>
    </row>
    <row r="63" ht="27" customHeight="1" s="30">
      <c r="A63" s="9" t="inlineStr">
        <is>
          <t>D. 材料排放因子</t>
        </is>
      </c>
      <c r="B63" s="9" t="inlineStr">
        <is>
          <t>steel_indirect_pcf</t>
        </is>
      </c>
      <c r="C63" s="9" t="inlineStr">
        <is>
          <t>钢材间接排放因子</t>
        </is>
      </c>
      <c r="D63" s="9" t="inlineStr">
        <is>
          <t>数值</t>
        </is>
      </c>
      <c r="E63" s="10" t="inlineStr">
        <is>
          <t>是</t>
        </is>
      </c>
      <c r="F63" s="9" t="inlineStr">
        <is>
          <t>供应商PCF/因子库录入</t>
        </is>
      </c>
      <c r="G63" s="9" t="inlineStr">
        <is>
          <t>供应商PCF库/因子库</t>
        </is>
      </c>
      <c r="H63" s="9" t="inlineStr">
        <is>
          <t>采购与碳核算团队</t>
        </is>
      </c>
      <c r="I63" s="9" t="inlineStr">
        <is>
          <t>商业敏感</t>
        </is>
      </c>
      <c r="J63" s="9" t="inlineStr">
        <is>
          <t>VAL-009</t>
        </is>
      </c>
      <c r="K63" s="20" t="inlineStr">
        <is>
          <t>需欧盟口径转换</t>
        </is>
      </c>
      <c r="L63" s="10" t="inlineStr">
        <is>
          <t>不可直接引用</t>
        </is>
      </c>
      <c r="M63" s="9" t="inlineStr">
        <is>
          <t>建立中国口径到欧盟口径的因子转换规则</t>
        </is>
      </c>
      <c r="N63" s="9" t="inlineStr">
        <is>
          <t>EU+CBAM</t>
        </is>
      </c>
      <c r="O63" s="9" t="inlineStr">
        <is>
          <t>可借用到 CBAM indirect emissions</t>
        </is>
      </c>
    </row>
    <row r="64" ht="27" customHeight="1" s="30">
      <c r="A64" s="9" t="inlineStr">
        <is>
          <t>D. 材料排放因子</t>
        </is>
      </c>
      <c r="B64" s="9" t="inlineStr">
        <is>
          <t>plastic_pcf</t>
        </is>
      </c>
      <c r="C64" s="9" t="inlineStr">
        <is>
          <t>塑料件排放因子</t>
        </is>
      </c>
      <c r="D64" s="9" t="inlineStr">
        <is>
          <t>数值</t>
        </is>
      </c>
      <c r="E64" s="10" t="inlineStr">
        <is>
          <t>是</t>
        </is>
      </c>
      <c r="F64" s="9" t="inlineStr">
        <is>
          <t>供应商PCF/因子库录入</t>
        </is>
      </c>
      <c r="G64" s="9" t="inlineStr">
        <is>
          <t>供应商PCF库/因子库</t>
        </is>
      </c>
      <c r="H64" s="9" t="inlineStr">
        <is>
          <t>采购与碳核算团队</t>
        </is>
      </c>
      <c r="I64" s="9" t="inlineStr">
        <is>
          <t>商业敏感</t>
        </is>
      </c>
      <c r="J64" s="9" t="inlineStr">
        <is>
          <t>VAL-009</t>
        </is>
      </c>
      <c r="K64" s="20" t="inlineStr">
        <is>
          <t>需欧盟口径转换</t>
        </is>
      </c>
      <c r="L64" s="10" t="inlineStr">
        <is>
          <t>不可直接引用</t>
        </is>
      </c>
      <c r="M64" s="9" t="inlineStr">
        <is>
          <t>建立中国口径到欧盟口径的因子转换规则</t>
        </is>
      </c>
      <c r="N64" s="9" t="inlineStr">
        <is>
          <t>EU</t>
        </is>
      </c>
      <c r="O64" s="9" t="inlineStr">
        <is>
          <t>供应商 PCF 或行业因子</t>
        </is>
      </c>
    </row>
    <row r="65" ht="27" customHeight="1" s="30">
      <c r="A65" s="9" t="inlineStr">
        <is>
          <t>D. 材料排放因子</t>
        </is>
      </c>
      <c r="B65" s="9" t="inlineStr">
        <is>
          <t>other_material_pcf</t>
        </is>
      </c>
      <c r="C65" s="9" t="inlineStr">
        <is>
          <t>其他材料排放因子</t>
        </is>
      </c>
      <c r="D65" s="9" t="inlineStr">
        <is>
          <t>数值</t>
        </is>
      </c>
      <c r="E65" s="10" t="inlineStr">
        <is>
          <t>是</t>
        </is>
      </c>
      <c r="F65" s="9" t="inlineStr">
        <is>
          <t>供应商PCF/因子库录入</t>
        </is>
      </c>
      <c r="G65" s="9" t="inlineStr">
        <is>
          <t>供应商PCF库/因子库</t>
        </is>
      </c>
      <c r="H65" s="9" t="inlineStr">
        <is>
          <t>采购与碳核算团队</t>
        </is>
      </c>
      <c r="I65" s="9" t="inlineStr">
        <is>
          <t>商业敏感</t>
        </is>
      </c>
      <c r="J65" s="9" t="inlineStr">
        <is>
          <t>VAL-009</t>
        </is>
      </c>
      <c r="K65" s="20" t="inlineStr">
        <is>
          <t>需欧盟口径转换</t>
        </is>
      </c>
      <c r="L65" s="10" t="inlineStr">
        <is>
          <t>不可直接引用</t>
        </is>
      </c>
      <c r="M65" s="9" t="inlineStr">
        <is>
          <t>建立中国口径到欧盟口径的因子转换规则</t>
        </is>
      </c>
      <c r="N65" s="9" t="inlineStr">
        <is>
          <t>EU</t>
        </is>
      </c>
      <c r="O65" s="9" t="inlineStr">
        <is>
          <t>供应商 PCF 或行业因子</t>
        </is>
      </c>
    </row>
    <row r="66" ht="27" customHeight="1" s="30">
      <c r="A66" s="9" t="inlineStr">
        <is>
          <t>E. 制造能耗与工艺</t>
        </is>
      </c>
      <c r="B66" s="9" t="inlineStr">
        <is>
          <t>grid_electricity_kwh</t>
        </is>
      </c>
      <c r="C66" s="9" t="inlineStr">
        <is>
          <t>电网电使用量</t>
        </is>
      </c>
      <c r="D66" s="9" t="inlineStr">
        <is>
          <t>数值</t>
        </is>
      </c>
      <c r="E66" s="10" t="inlineStr">
        <is>
          <t>是</t>
        </is>
      </c>
      <c r="F66" s="9" t="inlineStr">
        <is>
          <t>MES/EMS/EHS数据录入</t>
        </is>
      </c>
      <c r="G66" s="9" t="inlineStr">
        <is>
          <t>MES+EMS+EHS</t>
        </is>
      </c>
      <c r="H66" s="9" t="inlineStr">
        <is>
          <t>工厂EHS与能源团队</t>
        </is>
      </c>
      <c r="I66" s="9" t="inlineStr">
        <is>
          <t>高度敏感</t>
        </is>
      </c>
      <c r="J66" s="9" t="inlineStr">
        <is>
          <t>VAL-010</t>
        </is>
      </c>
      <c r="K66" s="20" t="inlineStr">
        <is>
          <t>需工厂级实时取数</t>
        </is>
      </c>
      <c r="L66" s="10" t="inlineStr">
        <is>
          <t>不可直接引用</t>
        </is>
      </c>
      <c r="M66" s="9" t="inlineStr">
        <is>
          <t>接MES/EMS并补工厂级电力与工艺证据</t>
        </is>
      </c>
      <c r="N66" s="9" t="inlineStr">
        <is>
          <t>EU+CBAM</t>
        </is>
      </c>
      <c r="O66" s="9" t="inlineStr">
        <is>
          <t>按当前申报单元分摊后的电力使用量</t>
        </is>
      </c>
    </row>
    <row r="67" ht="27" customHeight="1" s="30">
      <c r="A67" s="9" t="inlineStr">
        <is>
          <t>E. 制造能耗与工艺</t>
        </is>
      </c>
      <c r="B67" s="9" t="inlineStr">
        <is>
          <t>green_electricity_kwh</t>
        </is>
      </c>
      <c r="C67" s="9" t="inlineStr">
        <is>
          <t>绿电使用量</t>
        </is>
      </c>
      <c r="D67" s="9" t="inlineStr">
        <is>
          <t>数值</t>
        </is>
      </c>
      <c r="E67" s="10" t="inlineStr">
        <is>
          <t>是</t>
        </is>
      </c>
      <c r="F67" s="9" t="inlineStr">
        <is>
          <t>MES/EMS/EHS数据录入</t>
        </is>
      </c>
      <c r="G67" s="9" t="inlineStr">
        <is>
          <t>MES+EMS+EHS</t>
        </is>
      </c>
      <c r="H67" s="9" t="inlineStr">
        <is>
          <t>工厂EHS与能源团队</t>
        </is>
      </c>
      <c r="I67" s="9" t="inlineStr">
        <is>
          <t>高度敏感</t>
        </is>
      </c>
      <c r="J67" s="9" t="inlineStr">
        <is>
          <t>VAL-010</t>
        </is>
      </c>
      <c r="K67" s="20" t="inlineStr">
        <is>
          <t>需工厂级实时取数</t>
        </is>
      </c>
      <c r="L67" s="10" t="inlineStr">
        <is>
          <t>不可直接引用</t>
        </is>
      </c>
      <c r="M67" s="9" t="inlineStr">
        <is>
          <t>接MES/EMS并补工厂级电力与工艺证据</t>
        </is>
      </c>
      <c r="N67" s="9" t="inlineStr">
        <is>
          <t>EU</t>
        </is>
      </c>
      <c r="O67" s="9" t="inlineStr">
        <is>
          <t>按当前申报单元分摊后的电力使用量</t>
        </is>
      </c>
    </row>
    <row r="68" ht="27" customHeight="1" s="30">
      <c r="A68" s="9" t="inlineStr">
        <is>
          <t>E. 制造能耗与工艺</t>
        </is>
      </c>
      <c r="B68" s="9" t="inlineStr">
        <is>
          <t>green_electricity_factor</t>
        </is>
      </c>
      <c r="C68" s="9" t="inlineStr">
        <is>
          <t>绿电排放因子</t>
        </is>
      </c>
      <c r="D68" s="9" t="inlineStr">
        <is>
          <t>数值</t>
        </is>
      </c>
      <c r="E68" s="10" t="inlineStr">
        <is>
          <t>是</t>
        </is>
      </c>
      <c r="F68" s="9" t="inlineStr">
        <is>
          <t>MES/EMS/EHS数据录入</t>
        </is>
      </c>
      <c r="G68" s="9" t="inlineStr">
        <is>
          <t>MES+EMS+EHS</t>
        </is>
      </c>
      <c r="H68" s="9" t="inlineStr">
        <is>
          <t>工厂EHS与能源团队</t>
        </is>
      </c>
      <c r="I68" s="9" t="inlineStr">
        <is>
          <t>高度敏感</t>
        </is>
      </c>
      <c r="J68" s="9" t="inlineStr">
        <is>
          <t>VAL-009</t>
        </is>
      </c>
      <c r="K68" s="20" t="inlineStr">
        <is>
          <t>需工厂级实时取数</t>
        </is>
      </c>
      <c r="L68" s="10" t="inlineStr">
        <is>
          <t>不可直接引用</t>
        </is>
      </c>
      <c r="M68" s="9" t="inlineStr">
        <is>
          <t>接MES/EMS并补工厂级电力与工艺证据</t>
        </is>
      </c>
      <c r="N68" s="9" t="inlineStr">
        <is>
          <t>EU</t>
        </is>
      </c>
      <c r="O68" s="9" t="inlineStr">
        <is>
          <t>模板示例因子</t>
        </is>
      </c>
    </row>
    <row r="69" ht="27" customHeight="1" s="30">
      <c r="A69" s="9" t="inlineStr">
        <is>
          <t>E. 制造能耗与工艺</t>
        </is>
      </c>
      <c r="B69" s="9" t="inlineStr">
        <is>
          <t>grid_electricity_factor</t>
        </is>
      </c>
      <c r="C69" s="9" t="inlineStr">
        <is>
          <t>电网电排放因子</t>
        </is>
      </c>
      <c r="D69" s="9" t="inlineStr">
        <is>
          <t>数值</t>
        </is>
      </c>
      <c r="E69" s="10" t="inlineStr">
        <is>
          <t>是</t>
        </is>
      </c>
      <c r="F69" s="9" t="inlineStr">
        <is>
          <t>MES/EMS/EHS数据录入</t>
        </is>
      </c>
      <c r="G69" s="9" t="inlineStr">
        <is>
          <t>MES+EMS+EHS</t>
        </is>
      </c>
      <c r="H69" s="9" t="inlineStr">
        <is>
          <t>工厂EHS与能源团队</t>
        </is>
      </c>
      <c r="I69" s="9" t="inlineStr">
        <is>
          <t>高度敏感</t>
        </is>
      </c>
      <c r="J69" s="9" t="inlineStr">
        <is>
          <t>VAL-009</t>
        </is>
      </c>
      <c r="K69" s="20" t="inlineStr">
        <is>
          <t>需工厂级实时取数</t>
        </is>
      </c>
      <c r="L69" s="10" t="inlineStr">
        <is>
          <t>不可直接引用</t>
        </is>
      </c>
      <c r="M69" s="9" t="inlineStr">
        <is>
          <t>接MES/EMS并补工厂级电力与工艺证据</t>
        </is>
      </c>
      <c r="N69" s="9" t="inlineStr">
        <is>
          <t>EU+CBAM</t>
        </is>
      </c>
      <c r="O69" s="9" t="inlineStr">
        <is>
          <t>模板示例因子</t>
        </is>
      </c>
    </row>
    <row r="70" ht="27" customHeight="1" s="30">
      <c r="A70" s="9" t="inlineStr">
        <is>
          <t>E. 制造能耗与工艺</t>
        </is>
      </c>
      <c r="B70" s="9" t="inlineStr">
        <is>
          <t>steam_mj</t>
        </is>
      </c>
      <c r="C70" s="9" t="inlineStr">
        <is>
          <t>蒸汽使用量</t>
        </is>
      </c>
      <c r="D70" s="9" t="inlineStr">
        <is>
          <t>数值</t>
        </is>
      </c>
      <c r="E70" s="10" t="inlineStr">
        <is>
          <t>是</t>
        </is>
      </c>
      <c r="F70" s="9" t="inlineStr">
        <is>
          <t>MES/EMS/EHS数据录入</t>
        </is>
      </c>
      <c r="G70" s="9" t="inlineStr">
        <is>
          <t>MES+EMS+EHS</t>
        </is>
      </c>
      <c r="H70" s="9" t="inlineStr">
        <is>
          <t>工厂EHS与能源团队</t>
        </is>
      </c>
      <c r="I70" s="9" t="inlineStr">
        <is>
          <t>高度敏感</t>
        </is>
      </c>
      <c r="J70" s="9" t="inlineStr">
        <is>
          <t>VAL-010</t>
        </is>
      </c>
      <c r="K70" s="20" t="inlineStr">
        <is>
          <t>需工厂级实时取数</t>
        </is>
      </c>
      <c r="L70" s="10" t="inlineStr">
        <is>
          <t>不可直接引用</t>
        </is>
      </c>
      <c r="M70" s="9" t="inlineStr">
        <is>
          <t>接MES/EMS并补工厂级电力与工艺证据</t>
        </is>
      </c>
      <c r="N70" s="9" t="inlineStr">
        <is>
          <t>EU</t>
        </is>
      </c>
      <c r="O70" s="9" t="inlineStr">
        <is>
          <t>按当前申报单元分摊后的能源使用量</t>
        </is>
      </c>
    </row>
    <row r="71" ht="27" customHeight="1" s="30">
      <c r="A71" s="9" t="inlineStr">
        <is>
          <t>E. 制造能耗与工艺</t>
        </is>
      </c>
      <c r="B71" s="9" t="inlineStr">
        <is>
          <t>steam_factor</t>
        </is>
      </c>
      <c r="C71" s="9" t="inlineStr">
        <is>
          <t>蒸汽排放因子</t>
        </is>
      </c>
      <c r="D71" s="9" t="inlineStr">
        <is>
          <t>数值</t>
        </is>
      </c>
      <c r="E71" s="10" t="inlineStr">
        <is>
          <t>是</t>
        </is>
      </c>
      <c r="F71" s="9" t="inlineStr">
        <is>
          <t>MES/EMS/EHS数据录入</t>
        </is>
      </c>
      <c r="G71" s="9" t="inlineStr">
        <is>
          <t>MES+EMS+EHS</t>
        </is>
      </c>
      <c r="H71" s="9" t="inlineStr">
        <is>
          <t>工厂EHS与能源团队</t>
        </is>
      </c>
      <c r="I71" s="9" t="inlineStr">
        <is>
          <t>高度敏感</t>
        </is>
      </c>
      <c r="J71" s="9" t="inlineStr">
        <is>
          <t>VAL-009</t>
        </is>
      </c>
      <c r="K71" s="20" t="inlineStr">
        <is>
          <t>需工厂级实时取数</t>
        </is>
      </c>
      <c r="L71" s="10" t="inlineStr">
        <is>
          <t>不可直接引用</t>
        </is>
      </c>
      <c r="M71" s="9" t="inlineStr">
        <is>
          <t>接MES/EMS并补工厂级电力与工艺证据</t>
        </is>
      </c>
      <c r="N71" s="9" t="inlineStr">
        <is>
          <t>EU</t>
        </is>
      </c>
      <c r="O71" s="9" t="inlineStr">
        <is>
          <t>模板示例因子</t>
        </is>
      </c>
    </row>
    <row r="72" ht="27" customHeight="1" s="30">
      <c r="A72" s="9" t="inlineStr">
        <is>
          <t>E. 制造能耗与工艺</t>
        </is>
      </c>
      <c r="B72" s="9" t="inlineStr">
        <is>
          <t>natural_gas_mj</t>
        </is>
      </c>
      <c r="C72" s="9" t="inlineStr">
        <is>
          <t>天然气使用量</t>
        </is>
      </c>
      <c r="D72" s="9" t="inlineStr">
        <is>
          <t>数值</t>
        </is>
      </c>
      <c r="E72" s="10" t="inlineStr">
        <is>
          <t>是</t>
        </is>
      </c>
      <c r="F72" s="9" t="inlineStr">
        <is>
          <t>MES/EMS/EHS数据录入</t>
        </is>
      </c>
      <c r="G72" s="9" t="inlineStr">
        <is>
          <t>MES+EMS+EHS</t>
        </is>
      </c>
      <c r="H72" s="9" t="inlineStr">
        <is>
          <t>工厂EHS与能源团队</t>
        </is>
      </c>
      <c r="I72" s="9" t="inlineStr">
        <is>
          <t>高度敏感</t>
        </is>
      </c>
      <c r="J72" s="9" t="inlineStr">
        <is>
          <t>VAL-010</t>
        </is>
      </c>
      <c r="K72" s="20" t="inlineStr">
        <is>
          <t>需工厂级实时取数</t>
        </is>
      </c>
      <c r="L72" s="10" t="inlineStr">
        <is>
          <t>不可直接引用</t>
        </is>
      </c>
      <c r="M72" s="9" t="inlineStr">
        <is>
          <t>接MES/EMS并补工厂级电力与工艺证据</t>
        </is>
      </c>
      <c r="N72" s="9" t="inlineStr">
        <is>
          <t>EU</t>
        </is>
      </c>
      <c r="O72" s="9" t="inlineStr">
        <is>
          <t>按当前申报单元分摊后的能源使用量</t>
        </is>
      </c>
    </row>
    <row r="73" ht="27" customHeight="1" s="30">
      <c r="A73" s="9" t="inlineStr">
        <is>
          <t>E. 制造能耗与工艺</t>
        </is>
      </c>
      <c r="B73" s="9" t="inlineStr">
        <is>
          <t>natural_gas_factor</t>
        </is>
      </c>
      <c r="C73" s="9" t="inlineStr">
        <is>
          <t>天然气排放因子</t>
        </is>
      </c>
      <c r="D73" s="9" t="inlineStr">
        <is>
          <t>数值</t>
        </is>
      </c>
      <c r="E73" s="10" t="inlineStr">
        <is>
          <t>是</t>
        </is>
      </c>
      <c r="F73" s="9" t="inlineStr">
        <is>
          <t>MES/EMS/EHS数据录入</t>
        </is>
      </c>
      <c r="G73" s="9" t="inlineStr">
        <is>
          <t>MES+EMS+EHS</t>
        </is>
      </c>
      <c r="H73" s="9" t="inlineStr">
        <is>
          <t>工厂EHS与能源团队</t>
        </is>
      </c>
      <c r="I73" s="9" t="inlineStr">
        <is>
          <t>高度敏感</t>
        </is>
      </c>
      <c r="J73" s="9" t="inlineStr">
        <is>
          <t>VAL-009</t>
        </is>
      </c>
      <c r="K73" s="20" t="inlineStr">
        <is>
          <t>需工厂级实时取数</t>
        </is>
      </c>
      <c r="L73" s="10" t="inlineStr">
        <is>
          <t>不可直接引用</t>
        </is>
      </c>
      <c r="M73" s="9" t="inlineStr">
        <is>
          <t>接MES/EMS并补工厂级电力与工艺证据</t>
        </is>
      </c>
      <c r="N73" s="9" t="inlineStr">
        <is>
          <t>EU</t>
        </is>
      </c>
      <c r="O73" s="9" t="inlineStr">
        <is>
          <t>模板示例因子</t>
        </is>
      </c>
    </row>
    <row r="74" ht="27" customHeight="1" s="30">
      <c r="A74" s="9" t="inlineStr">
        <is>
          <t>E. 制造能耗与工艺</t>
        </is>
      </c>
      <c r="B74" s="9" t="inlineStr">
        <is>
          <t>direct_process_emissions</t>
        </is>
      </c>
      <c r="C74" s="9" t="inlineStr">
        <is>
          <t>直接工艺排放</t>
        </is>
      </c>
      <c r="D74" s="9" t="inlineStr">
        <is>
          <t>数值</t>
        </is>
      </c>
      <c r="E74" s="10" t="inlineStr">
        <is>
          <t>是</t>
        </is>
      </c>
      <c r="F74" s="9" t="inlineStr">
        <is>
          <t>MES/EMS/EHS数据录入</t>
        </is>
      </c>
      <c r="G74" s="9" t="inlineStr">
        <is>
          <t>MES+EMS+EHS</t>
        </is>
      </c>
      <c r="H74" s="9" t="inlineStr">
        <is>
          <t>工厂EHS与能源团队</t>
        </is>
      </c>
      <c r="I74" s="9" t="inlineStr">
        <is>
          <t>高度敏感</t>
        </is>
      </c>
      <c r="J74" s="9" t="inlineStr">
        <is>
          <t>VAL-009</t>
        </is>
      </c>
      <c r="K74" s="20" t="inlineStr">
        <is>
          <t>需工厂级实时取数</t>
        </is>
      </c>
      <c r="L74" s="10" t="inlineStr">
        <is>
          <t>不可直接引用</t>
        </is>
      </c>
      <c r="M74" s="9" t="inlineStr">
        <is>
          <t>接MES/EMS并补工厂级电力与工艺证据</t>
        </is>
      </c>
      <c r="N74" s="9" t="inlineStr">
        <is>
          <t>EU</t>
        </is>
      </c>
      <c r="O74" s="9" t="inlineStr">
        <is>
          <t>按当前申报单元口径记录或分摊的排放结果</t>
        </is>
      </c>
    </row>
    <row r="75" ht="27" customHeight="1" s="30">
      <c r="A75" s="9" t="inlineStr">
        <is>
          <t>E. 制造能耗与工艺</t>
        </is>
      </c>
      <c r="B75" s="9" t="inlineStr">
        <is>
          <t>production_yield_pct</t>
        </is>
      </c>
      <c r="C75" s="9" t="inlineStr">
        <is>
          <t>生产良率</t>
        </is>
      </c>
      <c r="D75" s="9" t="inlineStr">
        <is>
          <t>百分比(0-1小数)</t>
        </is>
      </c>
      <c r="E75" s="10" t="inlineStr">
        <is>
          <t>是</t>
        </is>
      </c>
      <c r="F75" s="9" t="inlineStr">
        <is>
          <t>MES/EMS/EHS数据录入</t>
        </is>
      </c>
      <c r="G75" s="9" t="inlineStr">
        <is>
          <t>MES+EMS+EHS</t>
        </is>
      </c>
      <c r="H75" s="9" t="inlineStr">
        <is>
          <t>工厂EHS与能源团队</t>
        </is>
      </c>
      <c r="I75" s="9" t="inlineStr">
        <is>
          <t>高度敏感</t>
        </is>
      </c>
      <c r="J75" s="9" t="inlineStr">
        <is>
          <t>VAL-007</t>
        </is>
      </c>
      <c r="K75" s="20" t="inlineStr">
        <is>
          <t>需工厂级实时取数</t>
        </is>
      </c>
      <c r="L75" s="10" t="inlineStr">
        <is>
          <t>不可直接引用</t>
        </is>
      </c>
      <c r="M75" s="9" t="inlineStr">
        <is>
          <t>接MES/EMS并补工厂级电力与工艺证据</t>
        </is>
      </c>
      <c r="N75" s="9" t="inlineStr">
        <is>
          <t>EU</t>
        </is>
      </c>
      <c r="O75" s="9" t="inlineStr">
        <is>
          <t>良率越低单位排放越高</t>
        </is>
      </c>
    </row>
    <row r="76" ht="27" customHeight="1" s="30">
      <c r="A76" s="9" t="inlineStr">
        <is>
          <t>F. 运输与生命周期</t>
        </is>
      </c>
      <c r="B76" s="9" t="inlineStr">
        <is>
          <t>inbound_transport_kgco2</t>
        </is>
      </c>
      <c r="C76" s="9" t="inlineStr">
        <is>
          <t>上游来料运输排放</t>
        </is>
      </c>
      <c r="D76" s="9" t="inlineStr">
        <is>
          <t>数值</t>
        </is>
      </c>
      <c r="E76" s="10" t="inlineStr">
        <is>
          <t>是</t>
        </is>
      </c>
      <c r="F76" s="9" t="inlineStr">
        <is>
          <t>LCA/物流数据录入</t>
        </is>
      </c>
      <c r="G76" s="9" t="inlineStr">
        <is>
          <t>LCA模型/物流系统</t>
        </is>
      </c>
      <c r="H76" s="9" t="inlineStr">
        <is>
          <t>LCA与物流团队</t>
        </is>
      </c>
      <c r="I76" s="9" t="inlineStr">
        <is>
          <t>内部受限</t>
        </is>
      </c>
      <c r="J76" s="9" t="inlineStr">
        <is>
          <t>VAL-010</t>
        </is>
      </c>
      <c r="K76" s="20" t="inlineStr">
        <is>
          <t>需补生命周期边界说明</t>
        </is>
      </c>
      <c r="L76" s="10" t="inlineStr">
        <is>
          <t>不可直接引用</t>
        </is>
      </c>
      <c r="M76" s="9" t="inlineStr">
        <is>
          <t>确认边界、运输路径和回收方法学</t>
        </is>
      </c>
      <c r="N76" s="9" t="inlineStr">
        <is>
          <t>EU</t>
        </is>
      </c>
      <c r="O76" s="9" t="inlineStr">
        <is>
          <t>按当前申报单元口径记录或分摊的排放结果</t>
        </is>
      </c>
    </row>
    <row r="77" ht="27" customHeight="1" s="30">
      <c r="A77" s="9" t="inlineStr">
        <is>
          <t>F. 运输与生命周期</t>
        </is>
      </c>
      <c r="B77" s="9" t="inlineStr">
        <is>
          <t>outbound_transport_kgco2</t>
        </is>
      </c>
      <c r="C77" s="9" t="inlineStr">
        <is>
          <t>下游出货运输排放</t>
        </is>
      </c>
      <c r="D77" s="9" t="inlineStr">
        <is>
          <t>数值</t>
        </is>
      </c>
      <c r="E77" s="10" t="inlineStr">
        <is>
          <t>是</t>
        </is>
      </c>
      <c r="F77" s="9" t="inlineStr">
        <is>
          <t>LCA/物流数据录入</t>
        </is>
      </c>
      <c r="G77" s="9" t="inlineStr">
        <is>
          <t>LCA模型/物流系统</t>
        </is>
      </c>
      <c r="H77" s="9" t="inlineStr">
        <is>
          <t>LCA与物流团队</t>
        </is>
      </c>
      <c r="I77" s="9" t="inlineStr">
        <is>
          <t>内部受限</t>
        </is>
      </c>
      <c r="J77" s="9" t="inlineStr">
        <is>
          <t>VAL-010</t>
        </is>
      </c>
      <c r="K77" s="20" t="inlineStr">
        <is>
          <t>需补生命周期边界说明</t>
        </is>
      </c>
      <c r="L77" s="10" t="inlineStr">
        <is>
          <t>不可直接引用</t>
        </is>
      </c>
      <c r="M77" s="9" t="inlineStr">
        <is>
          <t>确认边界、运输路径和回收方法学</t>
        </is>
      </c>
      <c r="N77" s="9" t="inlineStr">
        <is>
          <t>EU</t>
        </is>
      </c>
      <c r="O77" s="9" t="inlineStr">
        <is>
          <t>按当前申报单元口径记录或分摊的排放结果</t>
        </is>
      </c>
    </row>
    <row r="78" ht="27" customHeight="1" s="30">
      <c r="A78" s="9" t="inlineStr">
        <is>
          <t>F. 运输与生命周期</t>
        </is>
      </c>
      <c r="B78" s="9" t="inlineStr">
        <is>
          <t>end_of_life_credit_kgco2</t>
        </is>
      </c>
      <c r="C78" s="9" t="inlineStr">
        <is>
          <t>终端回收信用</t>
        </is>
      </c>
      <c r="D78" s="9" t="inlineStr">
        <is>
          <t>数值</t>
        </is>
      </c>
      <c r="E78" s="10" t="inlineStr">
        <is>
          <t>是</t>
        </is>
      </c>
      <c r="F78" s="9" t="inlineStr">
        <is>
          <t>LCA/物流数据录入</t>
        </is>
      </c>
      <c r="G78" s="9" t="inlineStr">
        <is>
          <t>LCA模型/物流系统</t>
        </is>
      </c>
      <c r="H78" s="9" t="inlineStr">
        <is>
          <t>LCA与物流团队</t>
        </is>
      </c>
      <c r="I78" s="9" t="inlineStr">
        <is>
          <t>内部受限</t>
        </is>
      </c>
      <c r="J78" s="9" t="inlineStr">
        <is>
          <t>VAL-001</t>
        </is>
      </c>
      <c r="K78" s="20" t="inlineStr">
        <is>
          <t>需补生命周期边界说明</t>
        </is>
      </c>
      <c r="L78" s="10" t="inlineStr">
        <is>
          <t>不可直接引用</t>
        </is>
      </c>
      <c r="M78" s="9" t="inlineStr">
        <is>
          <t>确认边界、运输路径和回收方法学</t>
        </is>
      </c>
      <c r="N78" s="9" t="inlineStr">
        <is>
          <t>EU</t>
        </is>
      </c>
      <c r="O78" s="9" t="inlineStr">
        <is>
          <t>按当前申报单元口径记录或分摊的排放结果</t>
        </is>
      </c>
    </row>
    <row r="79" ht="27" customHeight="1" s="30">
      <c r="A79" s="9" t="inlineStr">
        <is>
          <t>G. 再生材料</t>
        </is>
      </c>
      <c r="B79" s="9" t="inlineStr">
        <is>
          <t>recycled_cobalt_pct</t>
        </is>
      </c>
      <c r="C79" s="9" t="inlineStr">
        <is>
          <t>再生钴占比</t>
        </is>
      </c>
      <c r="D79" s="9" t="inlineStr">
        <is>
          <t>百分比(0-1小数)</t>
        </is>
      </c>
      <c r="E79" s="20" t="inlineStr">
        <is>
          <t>条件必填</t>
        </is>
      </c>
      <c r="F79" s="9" t="inlineStr">
        <is>
          <t>采购/质量平衡录入</t>
        </is>
      </c>
      <c r="G79" s="9" t="inlineStr">
        <is>
          <t>采购/质量平衡台账</t>
        </is>
      </c>
      <c r="H79" s="9" t="inlineStr">
        <is>
          <t>采购与再生材料团队</t>
        </is>
      </c>
      <c r="I79" s="9" t="inlineStr">
        <is>
          <t>内部受限</t>
        </is>
      </c>
      <c r="J79" s="9" t="inlineStr">
        <is>
          <t>VAL-007</t>
        </is>
      </c>
      <c r="K79" s="20" t="inlineStr">
        <is>
          <t>需质量平衡与供应商证明</t>
        </is>
      </c>
      <c r="L79" s="20" t="inlineStr">
        <is>
          <t>部分可引用</t>
        </is>
      </c>
      <c r="M79" s="9" t="inlineStr">
        <is>
          <t>补质量平衡证明和再生料来源证明</t>
        </is>
      </c>
      <c r="N79" s="9" t="inlineStr">
        <is>
          <t>EU</t>
        </is>
      </c>
      <c r="O79" s="9" t="inlineStr">
        <is>
          <t>LFP 常为 0</t>
        </is>
      </c>
    </row>
    <row r="80" ht="27" customHeight="1" s="30">
      <c r="A80" s="9" t="inlineStr">
        <is>
          <t>G. 再生材料</t>
        </is>
      </c>
      <c r="B80" s="9" t="inlineStr">
        <is>
          <t>recycled_lithium_pct</t>
        </is>
      </c>
      <c r="C80" s="9" t="inlineStr">
        <is>
          <t>再生锂占比</t>
        </is>
      </c>
      <c r="D80" s="9" t="inlineStr">
        <is>
          <t>百分比(0-1小数)</t>
        </is>
      </c>
      <c r="E80" s="10" t="inlineStr">
        <is>
          <t>是</t>
        </is>
      </c>
      <c r="F80" s="9" t="inlineStr">
        <is>
          <t>采购/质量平衡录入</t>
        </is>
      </c>
      <c r="G80" s="9" t="inlineStr">
        <is>
          <t>采购/质量平衡台账</t>
        </is>
      </c>
      <c r="H80" s="9" t="inlineStr">
        <is>
          <t>采购与再生材料团队</t>
        </is>
      </c>
      <c r="I80" s="9" t="inlineStr">
        <is>
          <t>内部受限</t>
        </is>
      </c>
      <c r="J80" s="9" t="inlineStr">
        <is>
          <t>VAL-007</t>
        </is>
      </c>
      <c r="K80" s="20" t="inlineStr">
        <is>
          <t>需质量平衡与供应商证明</t>
        </is>
      </c>
      <c r="L80" s="20" t="inlineStr">
        <is>
          <t>部分可引用</t>
        </is>
      </c>
      <c r="M80" s="9" t="inlineStr">
        <is>
          <t>补质量平衡证明和再生料来源证明</t>
        </is>
      </c>
      <c r="N80" s="9" t="inlineStr">
        <is>
          <t>EU</t>
        </is>
      </c>
      <c r="O80" s="9" t="inlineStr">
        <is>
          <t>欧盟电池法重点项</t>
        </is>
      </c>
    </row>
    <row r="81" ht="27" customHeight="1" s="30">
      <c r="A81" s="9" t="inlineStr">
        <is>
          <t>G. 再生材料</t>
        </is>
      </c>
      <c r="B81" s="9" t="inlineStr">
        <is>
          <t>recycled_nickel_pct</t>
        </is>
      </c>
      <c r="C81" s="9" t="inlineStr">
        <is>
          <t>再生镍占比</t>
        </is>
      </c>
      <c r="D81" s="9" t="inlineStr">
        <is>
          <t>百分比(0-1小数)</t>
        </is>
      </c>
      <c r="E81" s="20" t="inlineStr">
        <is>
          <t>条件必填</t>
        </is>
      </c>
      <c r="F81" s="9" t="inlineStr">
        <is>
          <t>采购/质量平衡录入</t>
        </is>
      </c>
      <c r="G81" s="9" t="inlineStr">
        <is>
          <t>采购/质量平衡台账</t>
        </is>
      </c>
      <c r="H81" s="9" t="inlineStr">
        <is>
          <t>采购与再生材料团队</t>
        </is>
      </c>
      <c r="I81" s="9" t="inlineStr">
        <is>
          <t>内部受限</t>
        </is>
      </c>
      <c r="J81" s="9" t="inlineStr">
        <is>
          <t>VAL-007</t>
        </is>
      </c>
      <c r="K81" s="20" t="inlineStr">
        <is>
          <t>需质量平衡与供应商证明</t>
        </is>
      </c>
      <c r="L81" s="20" t="inlineStr">
        <is>
          <t>部分可引用</t>
        </is>
      </c>
      <c r="M81" s="9" t="inlineStr">
        <is>
          <t>补质量平衡证明和再生料来源证明</t>
        </is>
      </c>
      <c r="N81" s="9" t="inlineStr">
        <is>
          <t>EU</t>
        </is>
      </c>
      <c r="O81" s="9" t="inlineStr">
        <is>
          <t>LFP 常为 0</t>
        </is>
      </c>
    </row>
    <row r="82" ht="27" customHeight="1" s="30">
      <c r="A82" s="9" t="inlineStr">
        <is>
          <t>G. 再生材料</t>
        </is>
      </c>
      <c r="B82" s="9" t="inlineStr">
        <is>
          <t>recycled_lead_pct</t>
        </is>
      </c>
      <c r="C82" s="9" t="inlineStr">
        <is>
          <t>再生铅占比</t>
        </is>
      </c>
      <c r="D82" s="9" t="inlineStr">
        <is>
          <t>百分比(0-1小数)</t>
        </is>
      </c>
      <c r="E82" s="20" t="inlineStr">
        <is>
          <t>条件必填</t>
        </is>
      </c>
      <c r="F82" s="9" t="inlineStr">
        <is>
          <t>采购/质量平衡录入</t>
        </is>
      </c>
      <c r="G82" s="9" t="inlineStr">
        <is>
          <t>采购/质量平衡台账</t>
        </is>
      </c>
      <c r="H82" s="9" t="inlineStr">
        <is>
          <t>采购与再生材料团队</t>
        </is>
      </c>
      <c r="I82" s="9" t="inlineStr">
        <is>
          <t>内部受限</t>
        </is>
      </c>
      <c r="J82" s="9" t="inlineStr">
        <is>
          <t>VAL-007</t>
        </is>
      </c>
      <c r="K82" s="20" t="inlineStr">
        <is>
          <t>需质量平衡与供应商证明</t>
        </is>
      </c>
      <c r="L82" s="20" t="inlineStr">
        <is>
          <t>部分可引用</t>
        </is>
      </c>
      <c r="M82" s="9" t="inlineStr">
        <is>
          <t>补质量平衡证明和再生料来源证明</t>
        </is>
      </c>
      <c r="N82" s="9" t="inlineStr">
        <is>
          <t>EU</t>
        </is>
      </c>
      <c r="O82" s="9" t="inlineStr">
        <is>
          <t>动力电池场景通常较低</t>
        </is>
      </c>
    </row>
    <row r="83" ht="27" customHeight="1" s="30">
      <c r="A83" s="9" t="inlineStr">
        <is>
          <t>G. 再生材料</t>
        </is>
      </c>
      <c r="B83" s="9" t="inlineStr">
        <is>
          <t>recycled_aluminium_pct</t>
        </is>
      </c>
      <c r="C83" s="9" t="inlineStr">
        <is>
          <t>再生铝占比</t>
        </is>
      </c>
      <c r="D83" s="9" t="inlineStr">
        <is>
          <t>百分比(0-1小数)</t>
        </is>
      </c>
      <c r="E83" s="10" t="inlineStr">
        <is>
          <t>是</t>
        </is>
      </c>
      <c r="F83" s="9" t="inlineStr">
        <is>
          <t>采购/质量平衡录入</t>
        </is>
      </c>
      <c r="G83" s="9" t="inlineStr">
        <is>
          <t>采购/质量平衡台账</t>
        </is>
      </c>
      <c r="H83" s="9" t="inlineStr">
        <is>
          <t>采购与再生材料团队</t>
        </is>
      </c>
      <c r="I83" s="9" t="inlineStr">
        <is>
          <t>内部受限</t>
        </is>
      </c>
      <c r="J83" s="9" t="inlineStr">
        <is>
          <t>VAL-007</t>
        </is>
      </c>
      <c r="K83" s="20" t="inlineStr">
        <is>
          <t>需质量平衡与供应商证明</t>
        </is>
      </c>
      <c r="L83" s="20" t="inlineStr">
        <is>
          <t>部分可引用</t>
        </is>
      </c>
      <c r="M83" s="9" t="inlineStr">
        <is>
          <t>补质量平衡证明和再生料来源证明</t>
        </is>
      </c>
      <c r="N83" s="9" t="inlineStr">
        <is>
          <t>EU+CBAM</t>
        </is>
      </c>
      <c r="O83" s="9" t="inlineStr">
        <is>
          <t>有助于上游减碳叙事</t>
        </is>
      </c>
    </row>
    <row r="84" ht="27" customHeight="1" s="30">
      <c r="A84" s="9" t="inlineStr">
        <is>
          <t>G. 再生材料</t>
        </is>
      </c>
      <c r="B84" s="9" t="inlineStr">
        <is>
          <t>recycled_steel_pct</t>
        </is>
      </c>
      <c r="C84" s="9" t="inlineStr">
        <is>
          <t>再生钢占比</t>
        </is>
      </c>
      <c r="D84" s="9" t="inlineStr">
        <is>
          <t>百分比(0-1小数)</t>
        </is>
      </c>
      <c r="E84" s="10" t="inlineStr">
        <is>
          <t>是</t>
        </is>
      </c>
      <c r="F84" s="9" t="inlineStr">
        <is>
          <t>采购/质量平衡录入</t>
        </is>
      </c>
      <c r="G84" s="9" t="inlineStr">
        <is>
          <t>采购/质量平衡台账</t>
        </is>
      </c>
      <c r="H84" s="9" t="inlineStr">
        <is>
          <t>采购与再生材料团队</t>
        </is>
      </c>
      <c r="I84" s="9" t="inlineStr">
        <is>
          <t>内部受限</t>
        </is>
      </c>
      <c r="J84" s="9" t="inlineStr">
        <is>
          <t>VAL-007</t>
        </is>
      </c>
      <c r="K84" s="20" t="inlineStr">
        <is>
          <t>需质量平衡与供应商证明</t>
        </is>
      </c>
      <c r="L84" s="20" t="inlineStr">
        <is>
          <t>部分可引用</t>
        </is>
      </c>
      <c r="M84" s="9" t="inlineStr">
        <is>
          <t>补质量平衡证明和再生料来源证明</t>
        </is>
      </c>
      <c r="N84" s="9" t="inlineStr">
        <is>
          <t>EU+CBAM</t>
        </is>
      </c>
      <c r="O84" s="9" t="inlineStr">
        <is>
          <t>有助于上游减碳叙事</t>
        </is>
      </c>
    </row>
    <row r="85" ht="27" customHeight="1" s="30">
      <c r="A85" s="9" t="inlineStr">
        <is>
          <t>H. CBAM 影子输入</t>
        </is>
      </c>
      <c r="B85" s="9" t="inlineStr">
        <is>
          <t>aluminium_supplier_installation_id</t>
        </is>
      </c>
      <c r="C85" s="9" t="inlineStr">
        <is>
          <t>铝材供应商安装点 ID</t>
        </is>
      </c>
      <c r="D85" s="9" t="inlineStr">
        <is>
          <t>标识符文本</t>
        </is>
      </c>
      <c r="E85" s="10" t="inlineStr">
        <is>
          <t>是</t>
        </is>
      </c>
      <c r="F85" s="9" t="inlineStr">
        <is>
          <t>供应商接口/人工确认</t>
        </is>
      </c>
      <c r="G85" s="9" t="inlineStr">
        <is>
          <t>供应商主数据/CBAM影子台账</t>
        </is>
      </c>
      <c r="H85" s="9" t="inlineStr">
        <is>
          <t>采购与上游核验团队</t>
        </is>
      </c>
      <c r="I85" s="9" t="inlineStr">
        <is>
          <t>高度敏感</t>
        </is>
      </c>
      <c r="J85" s="9" t="inlineStr">
        <is>
          <t>VAL-013</t>
        </is>
      </c>
      <c r="K85" s="20" t="inlineStr">
        <is>
          <t>需安装点级与核验数据</t>
        </is>
      </c>
      <c r="L85" s="10" t="inlineStr">
        <is>
          <t>不可直接引用</t>
        </is>
      </c>
      <c r="M85" s="9" t="inlineStr">
        <is>
          <t>补安装点ID、核验报告和访问权限控制</t>
        </is>
      </c>
      <c r="N85" s="9" t="inlineStr">
        <is>
          <t>CBAM</t>
        </is>
      </c>
      <c r="O85" s="9" t="inlineStr">
        <is>
          <t>借鉴 CBAM installation 逻辑</t>
        </is>
      </c>
    </row>
    <row r="86" ht="27" customHeight="1" s="30">
      <c r="A86" s="9" t="inlineStr">
        <is>
          <t>H. CBAM 影子输入</t>
        </is>
      </c>
      <c r="B86" s="9" t="inlineStr">
        <is>
          <t>steel_supplier_installation_id</t>
        </is>
      </c>
      <c r="C86" s="9" t="inlineStr">
        <is>
          <t>钢材供应商安装点 ID</t>
        </is>
      </c>
      <c r="D86" s="9" t="inlineStr">
        <is>
          <t>标识符文本</t>
        </is>
      </c>
      <c r="E86" s="10" t="inlineStr">
        <is>
          <t>是</t>
        </is>
      </c>
      <c r="F86" s="9" t="inlineStr">
        <is>
          <t>供应商接口/人工确认</t>
        </is>
      </c>
      <c r="G86" s="9" t="inlineStr">
        <is>
          <t>供应商主数据/CBAM影子台账</t>
        </is>
      </c>
      <c r="H86" s="9" t="inlineStr">
        <is>
          <t>采购与上游核验团队</t>
        </is>
      </c>
      <c r="I86" s="9" t="inlineStr">
        <is>
          <t>高度敏感</t>
        </is>
      </c>
      <c r="J86" s="9" t="inlineStr">
        <is>
          <t>VAL-013</t>
        </is>
      </c>
      <c r="K86" s="20" t="inlineStr">
        <is>
          <t>需安装点级与核验数据</t>
        </is>
      </c>
      <c r="L86" s="10" t="inlineStr">
        <is>
          <t>不可直接引用</t>
        </is>
      </c>
      <c r="M86" s="9" t="inlineStr">
        <is>
          <t>补安装点ID、核验报告和访问权限控制</t>
        </is>
      </c>
      <c r="N86" s="9" t="inlineStr">
        <is>
          <t>CBAM</t>
        </is>
      </c>
      <c r="O86" s="9" t="inlineStr">
        <is>
          <t>借鉴 CBAM installation 逻辑</t>
        </is>
      </c>
    </row>
    <row r="87" ht="27" customHeight="1" s="30">
      <c r="A87" s="9" t="inlineStr">
        <is>
          <t>H. CBAM 影子输入</t>
        </is>
      </c>
      <c r="B87" s="9" t="inlineStr">
        <is>
          <t>upstream_reporting_period</t>
        </is>
      </c>
      <c r="C87" s="9" t="inlineStr">
        <is>
          <t>上游材料报告期</t>
        </is>
      </c>
      <c r="D87" s="9" t="inlineStr">
        <is>
          <t>文本</t>
        </is>
      </c>
      <c r="E87" s="10" t="inlineStr">
        <is>
          <t>是</t>
        </is>
      </c>
      <c r="F87" s="9" t="inlineStr">
        <is>
          <t>供应商接口/人工确认</t>
        </is>
      </c>
      <c r="G87" s="9" t="inlineStr">
        <is>
          <t>供应商主数据/CBAM影子台账</t>
        </is>
      </c>
      <c r="H87" s="9" t="inlineStr">
        <is>
          <t>采购与上游核验团队</t>
        </is>
      </c>
      <c r="I87" s="9" t="inlineStr">
        <is>
          <t>高度敏感</t>
        </is>
      </c>
      <c r="J87" s="9" t="inlineStr">
        <is>
          <t>VAL-012</t>
        </is>
      </c>
      <c r="K87" s="20" t="inlineStr">
        <is>
          <t>需安装点级与核验数据</t>
        </is>
      </c>
      <c r="L87" s="10" t="inlineStr">
        <is>
          <t>不可直接引用</t>
        </is>
      </c>
      <c r="M87" s="9" t="inlineStr">
        <is>
          <t>补安装点ID、核验报告和访问权限控制</t>
        </is>
      </c>
      <c r="N87" s="9" t="inlineStr">
        <is>
          <t>CBAM</t>
        </is>
      </c>
      <c r="O87" s="9" t="inlineStr">
        <is>
          <t>最好与产品报告期对齐</t>
        </is>
      </c>
    </row>
    <row r="88" ht="27" customHeight="1" s="30">
      <c r="A88" s="9" t="inlineStr">
        <is>
          <t>H. CBAM 影子输入</t>
        </is>
      </c>
      <c r="B88" s="9" t="inlineStr">
        <is>
          <t>aluminium_verifier_status</t>
        </is>
      </c>
      <c r="C88" s="9" t="inlineStr">
        <is>
          <t>铝材核验状态</t>
        </is>
      </c>
      <c r="D88" s="9" t="inlineStr">
        <is>
          <t>状态文本</t>
        </is>
      </c>
      <c r="E88" s="10" t="inlineStr">
        <is>
          <t>是</t>
        </is>
      </c>
      <c r="F88" s="9" t="inlineStr">
        <is>
          <t>供应商接口/人工确认</t>
        </is>
      </c>
      <c r="G88" s="9" t="inlineStr">
        <is>
          <t>供应商主数据/CBAM影子台账</t>
        </is>
      </c>
      <c r="H88" s="9" t="inlineStr">
        <is>
          <t>采购与上游核验团队</t>
        </is>
      </c>
      <c r="I88" s="9" t="inlineStr">
        <is>
          <t>高度敏感</t>
        </is>
      </c>
      <c r="J88" s="9" t="inlineStr">
        <is>
          <t>VAL-006</t>
        </is>
      </c>
      <c r="K88" s="20" t="inlineStr">
        <is>
          <t>需安装点级与核验数据</t>
        </is>
      </c>
      <c r="L88" s="10" t="inlineStr">
        <is>
          <t>不可直接引用</t>
        </is>
      </c>
      <c r="M88" s="9" t="inlineStr">
        <is>
          <t>补安装点ID、核验报告和访问权限控制</t>
        </is>
      </c>
      <c r="N88" s="9" t="inlineStr">
        <is>
          <t>CBAM</t>
        </is>
      </c>
      <c r="O88" s="9" t="inlineStr">
        <is>
          <t>体现 verifier discipline</t>
        </is>
      </c>
    </row>
    <row r="89" ht="27" customHeight="1" s="30">
      <c r="A89" s="9" t="inlineStr">
        <is>
          <t>H. CBAM 影子输入</t>
        </is>
      </c>
      <c r="B89" s="9" t="inlineStr">
        <is>
          <t>steel_verifier_status</t>
        </is>
      </c>
      <c r="C89" s="9" t="inlineStr">
        <is>
          <t>钢材核验状态</t>
        </is>
      </c>
      <c r="D89" s="9" t="inlineStr">
        <is>
          <t>状态文本</t>
        </is>
      </c>
      <c r="E89" s="10" t="inlineStr">
        <is>
          <t>是</t>
        </is>
      </c>
      <c r="F89" s="9" t="inlineStr">
        <is>
          <t>供应商接口/人工确认</t>
        </is>
      </c>
      <c r="G89" s="9" t="inlineStr">
        <is>
          <t>供应商主数据/CBAM影子台账</t>
        </is>
      </c>
      <c r="H89" s="9" t="inlineStr">
        <is>
          <t>采购与上游核验团队</t>
        </is>
      </c>
      <c r="I89" s="9" t="inlineStr">
        <is>
          <t>高度敏感</t>
        </is>
      </c>
      <c r="J89" s="9" t="inlineStr">
        <is>
          <t>VAL-006</t>
        </is>
      </c>
      <c r="K89" s="20" t="inlineStr">
        <is>
          <t>需安装点级与核验数据</t>
        </is>
      </c>
      <c r="L89" s="10" t="inlineStr">
        <is>
          <t>不可直接引用</t>
        </is>
      </c>
      <c r="M89" s="9" t="inlineStr">
        <is>
          <t>补安装点ID、核验报告和访问权限控制</t>
        </is>
      </c>
      <c r="N89" s="9" t="inlineStr">
        <is>
          <t>CBAM</t>
        </is>
      </c>
      <c r="O89" s="9" t="inlineStr">
        <is>
          <t>体现 verifier discipline</t>
        </is>
      </c>
    </row>
  </sheetData>
  <autoFilter ref="A3:O89"/>
  <mergeCells count="2">
    <mergeCell ref="A1:O1"/>
    <mergeCell ref="A2:O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2" customWidth="1" style="30" min="1" max="1"/>
    <col width="22" customWidth="1" style="30" min="2" max="3"/>
    <col width="18" customWidth="1" style="30" min="4" max="4"/>
    <col width="12" customWidth="1" style="30" min="5" max="5"/>
    <col width="28" customWidth="1" style="30" min="6" max="6"/>
    <col width="18" customWidth="1" style="30" min="7" max="7"/>
    <col width="20" customWidth="1" style="30" min="8" max="8"/>
    <col width="14" customWidth="1" style="30" min="9" max="9"/>
    <col width="12" customWidth="1" style="30" min="10" max="10"/>
    <col width="26" customWidth="1" style="30" min="11" max="11"/>
  </cols>
  <sheetData>
    <row r="1">
      <c r="A1" s="33" t="inlineStr">
        <is>
          <t>证据台账：把“有数据”与“有证据”分开管理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3" t="n"/>
    </row>
    <row r="2">
      <c r="A2" s="24" t="inlineStr">
        <is>
          <t>企业级合规工具不能只看有没有数值，还要看背后有没有可供审计、核验和追责的证据包。这里按证据包管理，不按单个文件碎片管理。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3" t="n"/>
    </row>
    <row r="3">
      <c r="A3" s="8" t="inlineStr">
        <is>
          <t>证据包ID</t>
        </is>
      </c>
      <c r="B3" s="8" t="inlineStr">
        <is>
          <t>证据包名称</t>
        </is>
      </c>
      <c r="C3" s="8" t="inlineStr">
        <is>
          <t>覆盖字段/输出</t>
        </is>
      </c>
      <c r="D3" s="8" t="inlineStr">
        <is>
          <t>关键输入检查</t>
        </is>
      </c>
      <c r="E3" s="8" t="inlineStr">
        <is>
          <t>当前状态</t>
        </is>
      </c>
      <c r="F3" s="8" t="inlineStr">
        <is>
          <t>建议主要文件/系统</t>
        </is>
      </c>
      <c r="G3" s="8" t="inlineStr">
        <is>
          <t>责任部门</t>
        </is>
      </c>
      <c r="H3" s="8" t="inlineStr">
        <is>
          <t>核验需求</t>
        </is>
      </c>
      <c r="I3" s="8" t="inlineStr">
        <is>
          <t>保密等级</t>
        </is>
      </c>
      <c r="J3" s="8" t="inlineStr">
        <is>
          <t>主要服务对象</t>
        </is>
      </c>
      <c r="K3" s="8" t="inlineStr">
        <is>
          <t>下一步建议</t>
        </is>
      </c>
    </row>
    <row r="4" ht="27" customHeight="1" s="30">
      <c r="A4" s="9" t="inlineStr">
        <is>
          <t>EVD-001</t>
        </is>
      </c>
      <c r="B4" s="9" t="inlineStr">
        <is>
          <t>公司主体与尽调政策包</t>
        </is>
      </c>
      <c r="C4" s="9" t="inlineStr">
        <is>
          <t>制造商名称 / 尽调政策链接</t>
        </is>
      </c>
      <c r="D4" s="9">
        <f>IF(AND(INDEX('01_手动输入'!$G:$G,MATCH("manufacturer_name",'01_手动输入'!$B:$B,0))&lt;&gt;"",INDEX('01_手动输入'!$G:$G,MATCH("due_diligence_policy_url",'01_手动输入'!$B:$B,0))&lt;&gt;""),"已具备","缺失")</f>
        <v/>
      </c>
      <c r="E4" s="9">
        <f>D4</f>
        <v/>
      </c>
      <c r="F4" s="9" t="inlineStr">
        <is>
          <t>营业执照、年报、官网政策链接、尽调制度文件</t>
        </is>
      </c>
      <c r="G4" s="9" t="inlineStr">
        <is>
          <t>法务与尽调团队</t>
        </is>
      </c>
      <c r="H4" s="9" t="inlineStr">
        <is>
          <t>内部确认</t>
        </is>
      </c>
      <c r="I4" s="9" t="inlineStr">
        <is>
          <t>公开或低敏</t>
        </is>
      </c>
      <c r="J4" s="9" t="inlineStr">
        <is>
          <t>EU</t>
        </is>
      </c>
      <c r="K4" s="9" t="inlineStr">
        <is>
          <t>把政策链接与正式制度文件建立一一对应</t>
        </is>
      </c>
    </row>
    <row r="5" ht="27" customHeight="1" s="30">
      <c r="A5" s="9" t="inlineStr">
        <is>
          <t>EVD-002</t>
        </is>
      </c>
      <c r="B5" s="9" t="inlineStr">
        <is>
          <t>产品主数据包</t>
        </is>
      </c>
      <c r="C5" s="9" t="inlineStr">
        <is>
          <t>产品名 / 型号 / 类别 / 化学体系</t>
        </is>
      </c>
      <c r="D5" s="9">
        <f>IF(AND(INDEX('01_手动输入'!$G:$G,MATCH("product_name",'01_手动输入'!$B:$B,0))&lt;&gt;"",INDEX('01_手动输入'!$G:$G,MATCH("model_code",'01_手动输入'!$B:$B,0))&lt;&gt;"",INDEX('01_手动输入'!$G:$G,MATCH("battery_category",'01_手动输入'!$B:$B,0))&lt;&gt;"",INDEX('01_手动输入'!$G:$G,MATCH("chemistry",'01_手动输入'!$B:$B,0))&lt;&gt;""),"已具备","缺失")</f>
        <v/>
      </c>
      <c r="E5" s="9">
        <f>D5</f>
        <v/>
      </c>
      <c r="F5" s="9" t="inlineStr">
        <is>
          <t>PLM 主数据、产品规格书、BOM主档</t>
        </is>
      </c>
      <c r="G5" s="9" t="inlineStr">
        <is>
          <t>产品主数据团队</t>
        </is>
      </c>
      <c r="H5" s="9" t="inlineStr">
        <is>
          <t>内部确认</t>
        </is>
      </c>
      <c r="I5" s="9" t="inlineStr">
        <is>
          <t>内部受限</t>
        </is>
      </c>
      <c r="J5" s="9" t="inlineStr">
        <is>
          <t>EU+CBAM</t>
        </is>
      </c>
      <c r="K5" s="9" t="inlineStr">
        <is>
          <t>建立产品型号到护照对象的唯一映射</t>
        </is>
      </c>
    </row>
    <row r="6" ht="27" customHeight="1" s="30">
      <c r="A6" s="9" t="inlineStr">
        <is>
          <t>EVD-003</t>
        </is>
      </c>
      <c r="B6" s="9" t="inlineStr">
        <is>
          <t>工厂与报告期锚点包</t>
        </is>
      </c>
      <c r="C6" s="9" t="inlineStr">
        <is>
          <t>工厂代码 / 工厂名称 / 报告期</t>
        </is>
      </c>
      <c r="D6" s="9">
        <f>IF(AND(INDEX('01_手动输入'!$G:$G,MATCH("plant_code",'01_手动输入'!$B:$B,0))&lt;&gt;"",INDEX('01_手动输入'!$G:$G,MATCH("plant_name",'01_手动输入'!$B:$B,0))&lt;&gt;"",INDEX('01_手动输入'!$G:$G,MATCH("reporting_period",'01_手动输入'!$B:$B,0))&lt;&gt;""),"已具备","缺失")</f>
        <v/>
      </c>
      <c r="E6" s="9">
        <f>D6</f>
        <v/>
      </c>
      <c r="F6" s="9" t="inlineStr">
        <is>
          <t>工厂主数据、产线清单、报告期规则</t>
        </is>
      </c>
      <c r="G6" s="9" t="inlineStr">
        <is>
          <t>工厂EHS与主数据团队</t>
        </is>
      </c>
      <c r="H6" s="9" t="inlineStr">
        <is>
          <t>内部确认</t>
        </is>
      </c>
      <c r="I6" s="9" t="inlineStr">
        <is>
          <t>内部受限</t>
        </is>
      </c>
      <c r="J6" s="9" t="inlineStr">
        <is>
          <t>EU+CBAM</t>
        </is>
      </c>
      <c r="K6" s="9" t="inlineStr">
        <is>
          <t>把基地级披露继续拆到产品制造工厂级</t>
        </is>
      </c>
    </row>
    <row r="7" ht="27" customHeight="1" s="30">
      <c r="A7" s="9" t="inlineStr">
        <is>
          <t>EVD-004</t>
        </is>
      </c>
      <c r="B7" s="9" t="inlineStr">
        <is>
          <t>技术文档与测试报告包</t>
        </is>
      </c>
      <c r="C7" s="9" t="inlineStr">
        <is>
          <t>测试报告状态 / 技术文档状态</t>
        </is>
      </c>
      <c r="D7" s="9">
        <f>IF(AND(INDEX('01_手动输入'!$G:$G,MATCH("test_report_status",'01_手动输入'!$B:$B,0))="齐备",INDEX('01_手动输入'!$G:$G,MATCH("technical_doc_status",'01_手动输入'!$B:$B,0))="齐备"),"证据齐备","待补证据")</f>
        <v/>
      </c>
      <c r="E7" s="9">
        <f>D7</f>
        <v/>
      </c>
      <c r="F7" s="9" t="inlineStr">
        <is>
          <t>测试报告、规格书、说明书、计算书</t>
        </is>
      </c>
      <c r="G7" s="9" t="inlineStr">
        <is>
          <t>法规合规团队</t>
        </is>
      </c>
      <c r="H7" s="9" t="inlineStr">
        <is>
          <t>内部确认 + 后续第三方核验</t>
        </is>
      </c>
      <c r="I7" s="9" t="inlineStr">
        <is>
          <t>内部受限</t>
        </is>
      </c>
      <c r="J7" s="9" t="inlineStr">
        <is>
          <t>EU</t>
        </is>
      </c>
      <c r="K7" s="9" t="inlineStr">
        <is>
          <t>把 Annex 风格文档做成固定目录结构</t>
        </is>
      </c>
    </row>
    <row r="8" ht="27" customHeight="1" s="30">
      <c r="A8" s="9" t="inlineStr">
        <is>
          <t>EVD-005</t>
        </is>
      </c>
      <c r="B8" s="9" t="inlineStr">
        <is>
          <t>PCF 研究底稿包</t>
        </is>
      </c>
      <c r="C8" s="9" t="inlineStr">
        <is>
          <t>PCF 研究状态 / 生命周期边界</t>
        </is>
      </c>
      <c r="D8" s="9">
        <f>IF(INDEX('01_手动输入'!$G:$G,MATCH("pcf_study_status",'01_手动输入'!$B:$B,0))="齐备","证据齐备","待补证据")</f>
        <v/>
      </c>
      <c r="E8" s="9">
        <f>D8</f>
        <v/>
      </c>
      <c r="F8" s="9" t="inlineStr">
        <is>
          <t>LCA底稿、方法说明、边界说明、计算清单</t>
        </is>
      </c>
      <c r="G8" s="9" t="inlineStr">
        <is>
          <t>LCA与碳核算团队</t>
        </is>
      </c>
      <c r="H8" s="9" t="inlineStr">
        <is>
          <t>第三方/合规核验</t>
        </is>
      </c>
      <c r="I8" s="9" t="inlineStr">
        <is>
          <t>商业敏感</t>
        </is>
      </c>
      <c r="J8" s="9" t="inlineStr">
        <is>
          <t>EU</t>
        </is>
      </c>
      <c r="K8" s="9" t="inlineStr">
        <is>
          <t>从 demo 因子切换到真实企业因子和版本管理</t>
        </is>
      </c>
    </row>
    <row r="9" ht="27" customHeight="1" s="30">
      <c r="A9" s="9" t="inlineStr">
        <is>
          <t>EVD-006</t>
        </is>
      </c>
      <c r="B9" s="9" t="inlineStr">
        <is>
          <t>结构化护照数据包</t>
        </is>
      </c>
      <c r="C9" s="9" t="inlineStr">
        <is>
          <t>护照对象 ID / 数据包状态</t>
        </is>
      </c>
      <c r="D9" s="9">
        <f>IF(AND(INDEX('01_手动输入'!$G:$G,MATCH("qr_object_id",'01_手动输入'!$B:$B,0))&lt;&gt;"",INDEX('01_手动输入'!$G:$G,MATCH("passport_data_package_status",'01_手动输入'!$B:$B,0))="齐备"),"证据齐备","待补证据")</f>
        <v/>
      </c>
      <c r="E9" s="9">
        <f>D9</f>
        <v/>
      </c>
      <c r="F9" s="9" t="inlineStr">
        <is>
          <t>JSON/XML 数据包、对象主键、二维码规则</t>
        </is>
      </c>
      <c r="G9" s="9" t="inlineStr">
        <is>
          <t>数字化产品团队</t>
        </is>
      </c>
      <c r="H9" s="9" t="inlineStr">
        <is>
          <t>内部确认</t>
        </is>
      </c>
      <c r="I9" s="9" t="inlineStr">
        <is>
          <t>内部受限</t>
        </is>
      </c>
      <c r="J9" s="9" t="inlineStr">
        <is>
          <t>EU</t>
        </is>
      </c>
      <c r="K9" s="9" t="inlineStr">
        <is>
          <t>为后续 Tractus-X / 前端接口准备统一对象结构</t>
        </is>
      </c>
    </row>
    <row r="10" ht="27" customHeight="1" s="30">
      <c r="A10" s="9" t="inlineStr">
        <is>
          <t>EVD-007</t>
        </is>
      </c>
      <c r="B10" s="9" t="inlineStr">
        <is>
          <t>访问矩阵与保密控制包</t>
        </is>
      </c>
      <c r="C10" s="9" t="inlineStr">
        <is>
          <t>分层访问矩阵状态</t>
        </is>
      </c>
      <c r="D10" s="9">
        <f>IF(INDEX('01_手动输入'!$G:$G,MATCH("access_matrix_status",'01_手动输入'!$B:$B,0))="齐备","证据齐备","待补证据")</f>
        <v/>
      </c>
      <c r="E10" s="9">
        <f>D10</f>
        <v/>
      </c>
      <c r="F10" s="9" t="inlineStr">
        <is>
          <t>访问矩阵、角色权限表、数据分类分级规则</t>
        </is>
      </c>
      <c r="G10" s="9" t="inlineStr">
        <is>
          <t>法务/IT/合规联合团队</t>
        </is>
      </c>
      <c r="H10" s="9" t="inlineStr">
        <is>
          <t>内部确认</t>
        </is>
      </c>
      <c r="I10" s="9" t="inlineStr">
        <is>
          <t>高度敏感</t>
        </is>
      </c>
      <c r="J10" s="9" t="inlineStr">
        <is>
          <t>EU+CBAM</t>
        </is>
      </c>
      <c r="K10" s="9" t="inlineStr">
        <is>
          <t>形成可给审计/监管看的权限规则说明</t>
        </is>
      </c>
    </row>
    <row r="11" ht="27" customHeight="1" s="30">
      <c r="A11" s="9" t="inlineStr">
        <is>
          <t>EVD-008</t>
        </is>
      </c>
      <c r="B11" s="9" t="inlineStr">
        <is>
          <t>供应链追溯包</t>
        </is>
      </c>
      <c r="C11" s="9" t="inlineStr">
        <is>
          <t>供应链追溯覆盖率</t>
        </is>
      </c>
      <c r="D11" s="9">
        <f>IF(INDEX('01_手动输入'!$G:$G,MATCH("supplier_traceability_coverage_pct",'01_手动输入'!$B:$B,0))&gt;=0.9,"证据齐备",IF(INDEX('01_手动输入'!$G:$G,MATCH("supplier_traceability_coverage_pct",'01_手动输入'!$B:$B,0))&gt;=0.7,"部分齐备","高风险"))</f>
        <v/>
      </c>
      <c r="E11" s="9">
        <f>D11</f>
        <v/>
      </c>
      <c r="F11" s="9" t="inlineStr">
        <is>
          <t>追溯台账、供应商清单、关键原材料范围</t>
        </is>
      </c>
      <c r="G11" s="9" t="inlineStr">
        <is>
          <t>采购与供应链团队</t>
        </is>
      </c>
      <c r="H11" s="9" t="inlineStr">
        <is>
          <t>内部确认 + 供应商抽核</t>
        </is>
      </c>
      <c r="I11" s="9" t="inlineStr">
        <is>
          <t>商业敏感</t>
        </is>
      </c>
      <c r="J11" s="9" t="inlineStr">
        <is>
          <t>EU+CBAM</t>
        </is>
      </c>
      <c r="K11" s="9" t="inlineStr">
        <is>
          <t>优先把锂、石墨、铝、铜、钢追溯到供应商级</t>
        </is>
      </c>
    </row>
    <row r="12" ht="27" customHeight="1" s="30">
      <c r="A12" s="9" t="inlineStr">
        <is>
          <t>EVD-009</t>
        </is>
      </c>
      <c r="B12" s="9" t="inlineStr">
        <is>
          <t>供应商 PCF 包</t>
        </is>
      </c>
      <c r="C12" s="9" t="inlineStr">
        <is>
          <t>供应商 PCF 覆盖率</t>
        </is>
      </c>
      <c r="D12" s="9">
        <f>IF(INDEX('01_手动输入'!$G:$G,MATCH("supplier_pcf_coverage_pct",'01_手动输入'!$B:$B,0))&gt;=0.75,"证据齐备",IF(INDEX('01_手动输入'!$G:$G,MATCH("supplier_pcf_coverage_pct",'01_手动输入'!$B:$B,0))&gt;=0.5,"部分齐备","高风险"))</f>
        <v/>
      </c>
      <c r="E12" s="9">
        <f>D12</f>
        <v/>
      </c>
      <c r="F12" s="9" t="inlineStr">
        <is>
          <t>供应商PCF报告、因子库版本、计算方法说明</t>
        </is>
      </c>
      <c r="G12" s="9" t="inlineStr">
        <is>
          <t>采购与碳核算团队</t>
        </is>
      </c>
      <c r="H12" s="9" t="inlineStr">
        <is>
          <t>第三方/合规核验</t>
        </is>
      </c>
      <c r="I12" s="9" t="inlineStr">
        <is>
          <t>商业敏感</t>
        </is>
      </c>
      <c r="J12" s="9" t="inlineStr">
        <is>
          <t>EU+CBAM</t>
        </is>
      </c>
      <c r="K12" s="9" t="inlineStr">
        <is>
          <t>建立欧盟可接受的因子来源和版本记录</t>
        </is>
      </c>
    </row>
    <row r="13" ht="27" customHeight="1" s="30">
      <c r="A13" s="9" t="inlineStr">
        <is>
          <t>EVD-010</t>
        </is>
      </c>
      <c r="B13" s="9" t="inlineStr">
        <is>
          <t>材料用量主包</t>
        </is>
      </c>
      <c r="C13" s="9" t="inlineStr">
        <is>
          <t>正负极/电解液/隔膜/金属/塑料质量</t>
        </is>
      </c>
      <c r="D13" s="9">
        <f>IF(AND(INDEX('01_手动输入'!$G:$G,MATCH("cathode_mass_kg",'01_手动输入'!$B:$B,0))&gt;=0,INDEX('01_手动输入'!$G:$G,MATCH("anode_mass_kg",'01_手动输入'!$B:$B,0))&gt;=0,INDEX('01_手动输入'!$G:$G,MATCH("aluminium_mass_kg",'01_手动输入'!$B:$B,0))&gt;=0,INDEX('01_手动输入'!$G:$G,MATCH("steel_mass_kg",'01_手动输入'!$B:$B,0))&gt;=0),"证据齐备","待补证据")</f>
        <v/>
      </c>
      <c r="E13" s="9">
        <f>D13</f>
        <v/>
      </c>
      <c r="F13" s="9" t="inlineStr">
        <is>
          <t>BOM、配方清单、结构件清单</t>
        </is>
      </c>
      <c r="G13" s="9" t="inlineStr">
        <is>
          <t>研发BOM/LCA团队</t>
        </is>
      </c>
      <c r="H13" s="9" t="inlineStr">
        <is>
          <t>内部确认</t>
        </is>
      </c>
      <c r="I13" s="9" t="inlineStr">
        <is>
          <t>商业敏感</t>
        </is>
      </c>
      <c r="J13" s="9" t="inlineStr">
        <is>
          <t>EU+CBAM</t>
        </is>
      </c>
      <c r="K13" s="9" t="inlineStr">
        <is>
          <t>进一步拆到材料等级和供应商层</t>
        </is>
      </c>
    </row>
    <row r="14" ht="27" customHeight="1" s="30">
      <c r="A14" s="9" t="inlineStr">
        <is>
          <t>EVD-011</t>
        </is>
      </c>
      <c r="B14" s="9" t="inlineStr">
        <is>
          <t>材料排放因子包</t>
        </is>
      </c>
      <c r="C14" s="9" t="inlineStr">
        <is>
          <t>各材料 PCF / 因子</t>
        </is>
      </c>
      <c r="D14" s="9">
        <f>IF(AND(INDEX('01_手动输入'!$G:$G,MATCH("cathode_pcf",'01_手动输入'!$B:$B,0))&gt;=0,INDEX('01_手动输入'!$G:$G,MATCH("grid_electricity_factor",'01_手动输入'!$B:$B,0))&gt;=0,INDEX('01_手动输入'!$G:$G,MATCH("aluminium_direct_pcf",'01_手动输入'!$B:$B,0))&gt;=0,INDEX('01_手动输入'!$G:$G,MATCH("steel_direct_pcf",'01_手动输入'!$B:$B,0))&gt;=0),"证据齐备","待补证据")</f>
        <v/>
      </c>
      <c r="E14" s="9">
        <f>D14</f>
        <v/>
      </c>
      <c r="F14" s="9" t="inlineStr">
        <is>
          <t>供应商PCF、行业因子库、方法学说明</t>
        </is>
      </c>
      <c r="G14" s="9" t="inlineStr">
        <is>
          <t>采购与碳核算团队</t>
        </is>
      </c>
      <c r="H14" s="9" t="inlineStr">
        <is>
          <t>第三方/合规核验</t>
        </is>
      </c>
      <c r="I14" s="9" t="inlineStr">
        <is>
          <t>商业敏感</t>
        </is>
      </c>
      <c r="J14" s="9" t="inlineStr">
        <is>
          <t>EU+CBAM</t>
        </is>
      </c>
      <c r="K14" s="9" t="inlineStr">
        <is>
          <t>建立中国口径到欧盟口径的转换和替代逻辑</t>
        </is>
      </c>
    </row>
    <row r="15" ht="27" customHeight="1" s="30">
      <c r="A15" s="9" t="inlineStr">
        <is>
          <t>EVD-012</t>
        </is>
      </c>
      <c r="B15" s="9" t="inlineStr">
        <is>
          <t>制造能耗与工艺排放包</t>
        </is>
      </c>
      <c r="C15" s="9" t="inlineStr">
        <is>
          <t>电力 / 蒸汽 / 天然气 / 直接工艺排放</t>
        </is>
      </c>
      <c r="D15" s="9">
        <f>IF(AND(INDEX('01_手动输入'!$G:$G,MATCH("grid_electricity_kwh",'01_手动输入'!$B:$B,0))&gt;=0,INDEX('01_手动输入'!$G:$G,MATCH("green_electricity_kwh",'01_手动输入'!$B:$B,0))&gt;=0,INDEX('01_手动输入'!$G:$G,MATCH("steam_mj",'01_手动输入'!$B:$B,0))&gt;=0,INDEX('01_手动输入'!$G:$G,MATCH("natural_gas_mj",'01_手动输入'!$B:$B,0))&gt;=0),"证据齐备","待补证据")</f>
        <v/>
      </c>
      <c r="E15" s="9">
        <f>D15</f>
        <v/>
      </c>
      <c r="F15" s="9" t="inlineStr">
        <is>
          <t>电表、蒸汽台账、燃气台账、MES、工艺排放记录</t>
        </is>
      </c>
      <c r="G15" s="9" t="inlineStr">
        <is>
          <t>工厂EHS与能源团队</t>
        </is>
      </c>
      <c r="H15" s="9" t="inlineStr">
        <is>
          <t>第三方/合规核验</t>
        </is>
      </c>
      <c r="I15" s="9" t="inlineStr">
        <is>
          <t>高度敏感</t>
        </is>
      </c>
      <c r="J15" s="9" t="inlineStr">
        <is>
          <t>EU+CBAM</t>
        </is>
      </c>
      <c r="K15" s="9" t="inlineStr">
        <is>
          <t>把工厂级取数频率和留痕机制做起来</t>
        </is>
      </c>
    </row>
    <row r="16" ht="27" customHeight="1" s="30">
      <c r="A16" s="9" t="inlineStr">
        <is>
          <t>EVD-013</t>
        </is>
      </c>
      <c r="B16" s="9" t="inlineStr">
        <is>
          <t>绿电证明包</t>
        </is>
      </c>
      <c r="C16" s="9" t="inlineStr">
        <is>
          <t>绿电量 / 绿电因子</t>
        </is>
      </c>
      <c r="D16" s="9">
        <f>IF(AND(INDEX('01_手动输入'!$G:$G,MATCH("green_electricity_kwh",'01_手动输入'!$B:$B,0))&gt;=0,INDEX('01_手动输入'!$G:$G,MATCH("green_electricity_factor",'01_手动输入'!$B:$B,0))&gt;=0),"证据齐备","待补证据")</f>
        <v/>
      </c>
      <c r="E16" s="9">
        <f>D16</f>
        <v/>
      </c>
      <c r="F16" s="9" t="inlineStr">
        <is>
          <t>绿证、PPA、合同电量、匹配说明</t>
        </is>
      </c>
      <c r="G16" s="9" t="inlineStr">
        <is>
          <t>能源团队</t>
        </is>
      </c>
      <c r="H16" s="9" t="inlineStr">
        <is>
          <t>第三方/合规核验</t>
        </is>
      </c>
      <c r="I16" s="9" t="inlineStr">
        <is>
          <t>内部受限</t>
        </is>
      </c>
      <c r="J16" s="9" t="inlineStr">
        <is>
          <t>EU</t>
        </is>
      </c>
      <c r="K16" s="9" t="inlineStr">
        <is>
          <t>补清楚时间匹配和地域匹配规则</t>
        </is>
      </c>
    </row>
    <row r="17" ht="27" customHeight="1" s="30">
      <c r="A17" s="9" t="inlineStr">
        <is>
          <t>EVD-014</t>
        </is>
      </c>
      <c r="B17" s="9" t="inlineStr">
        <is>
          <t>运输与回收边界包</t>
        </is>
      </c>
      <c r="C17" s="9" t="inlineStr">
        <is>
          <t>上下游运输 / 生命周期末端信用</t>
        </is>
      </c>
      <c r="D17" s="9">
        <f>IF(AND(INDEX('01_手动输入'!$G:$G,MATCH("inbound_transport_kgco2",'01_手动输入'!$B:$B,0))&lt;&gt;"",INDEX('01_手动输入'!$G:$G,MATCH("outbound_transport_kgco2",'01_手动输入'!$B:$B,0))&lt;&gt;"",INDEX('01_手动输入'!$G:$G,MATCH("end_of_life_credit_kgco2",'01_手动输入'!$B:$B,0))&lt;&gt;""),"证据齐备","待补证据")</f>
        <v/>
      </c>
      <c r="E17" s="9">
        <f>D17</f>
        <v/>
      </c>
      <c r="F17" s="9" t="inlineStr">
        <is>
          <t>物流记录、路线清单、回收方案、方法学说明</t>
        </is>
      </c>
      <c r="G17" s="9" t="inlineStr">
        <is>
          <t>LCA与物流团队</t>
        </is>
      </c>
      <c r="H17" s="9" t="inlineStr">
        <is>
          <t>第三方/合规核验</t>
        </is>
      </c>
      <c r="I17" s="9" t="inlineStr">
        <is>
          <t>内部受限</t>
        </is>
      </c>
      <c r="J17" s="9" t="inlineStr">
        <is>
          <t>EU</t>
        </is>
      </c>
      <c r="K17" s="9" t="inlineStr">
        <is>
          <t>把运输模式与里程假设从 demo 切成真实路线</t>
        </is>
      </c>
    </row>
    <row r="18" ht="27" customHeight="1" s="30">
      <c r="A18" s="9" t="inlineStr">
        <is>
          <t>EVD-015</t>
        </is>
      </c>
      <c r="B18" s="9" t="inlineStr">
        <is>
          <t>再生材料证明包</t>
        </is>
      </c>
      <c r="C18" s="9" t="inlineStr">
        <is>
          <t>再生锂/铝/钢占比</t>
        </is>
      </c>
      <c r="D18" s="9">
        <f>IF(AND(INDEX('01_手动输入'!$G:$G,MATCH("recycled_lithium_pct",'01_手动输入'!$B:$B,0))&gt;=0,INDEX('01_手动输入'!$G:$G,MATCH("recycled_aluminium_pct",'01_手动输入'!$B:$B,0))&gt;=0,INDEX('01_手动输入'!$G:$G,MATCH("recycled_steel_pct",'01_手动输入'!$B:$B,0))&gt;=0),"证据齐备","待补证据")</f>
        <v/>
      </c>
      <c r="E18" s="9">
        <f>D18</f>
        <v/>
      </c>
      <c r="F18" s="9" t="inlineStr">
        <is>
          <t>质量平衡、供应商声明、再生料来源证明</t>
        </is>
      </c>
      <c r="G18" s="9" t="inlineStr">
        <is>
          <t>采购与再生材料团队</t>
        </is>
      </c>
      <c r="H18" s="9" t="inlineStr">
        <is>
          <t>第三方/合规核验</t>
        </is>
      </c>
      <c r="I18" s="9" t="inlineStr">
        <is>
          <t>商业敏感</t>
        </is>
      </c>
      <c r="J18" s="9" t="inlineStr">
        <is>
          <t>EU+CBAM</t>
        </is>
      </c>
      <c r="K18" s="9" t="inlineStr">
        <is>
          <t>统一质量平衡方法，避免公开口径与产品口径打架</t>
        </is>
      </c>
    </row>
    <row r="19" ht="27" customHeight="1" s="30">
      <c r="A19" s="9" t="inlineStr">
        <is>
          <t>EVD-016</t>
        </is>
      </c>
      <c r="B19" s="9" t="inlineStr">
        <is>
          <t>第三方核验声明包</t>
        </is>
      </c>
      <c r="C19" s="9" t="inlineStr">
        <is>
          <t>第三方核验状态</t>
        </is>
      </c>
      <c r="D19" s="9">
        <f>IF(INDEX('01_手动输入'!$G:$G,MATCH("third_party_verification_status",'01_手动输入'!$B:$B,0))="已核验","证据齐备","高风险")</f>
        <v/>
      </c>
      <c r="E19" s="9">
        <f>D19</f>
        <v/>
      </c>
      <c r="F19" s="9" t="inlineStr">
        <is>
          <t>核验报告、声明函、审计底稿索引</t>
        </is>
      </c>
      <c r="G19" s="9" t="inlineStr">
        <is>
          <t>法规合规团队</t>
        </is>
      </c>
      <c r="H19" s="9" t="inlineStr">
        <is>
          <t>第三方/合规核验</t>
        </is>
      </c>
      <c r="I19" s="9" t="inlineStr">
        <is>
          <t>内部受限</t>
        </is>
      </c>
      <c r="J19" s="9" t="inlineStr">
        <is>
          <t>EU+CBAM</t>
        </is>
      </c>
      <c r="K19" s="9" t="inlineStr">
        <is>
          <t>把影子核验与正式核验路径分开管理</t>
        </is>
      </c>
    </row>
    <row r="20" ht="27" customHeight="1" s="30">
      <c r="A20" s="9" t="inlineStr">
        <is>
          <t>EVD-017</t>
        </is>
      </c>
      <c r="B20" s="9" t="inlineStr">
        <is>
          <t>CBAM 铝材安装点包</t>
        </is>
      </c>
      <c r="C20" s="9" t="inlineStr">
        <is>
          <t>铝安装点 ID / 核验状态</t>
        </is>
      </c>
      <c r="D20" s="9">
        <f>IF(AND(INDEX('01_手动输入'!$G:$G,MATCH("aluminium_supplier_installation_id",'01_手动输入'!$B:$B,0))&lt;&gt;"",INDEX('01_手动输入'!$G:$G,MATCH("aluminium_verifier_status",'01_手动输入'!$B:$B,0))="已核验"),"证据齐备","待补证据")</f>
        <v/>
      </c>
      <c r="E20" s="9">
        <f>D20</f>
        <v/>
      </c>
      <c r="F20" s="9" t="inlineStr">
        <is>
          <t>供应商安装点主数据、排放报告、核验报告</t>
        </is>
      </c>
      <c r="G20" s="9" t="inlineStr">
        <is>
          <t>采购与上游核验团队</t>
        </is>
      </c>
      <c r="H20" s="9" t="inlineStr">
        <is>
          <t>供应商核验 + 合规复核</t>
        </is>
      </c>
      <c r="I20" s="9" t="inlineStr">
        <is>
          <t>高度敏感</t>
        </is>
      </c>
      <c r="J20" s="9" t="inlineStr">
        <is>
          <t>CBAM</t>
        </is>
      </c>
      <c r="K20" s="9" t="inlineStr">
        <is>
          <t>这是 CBAM 兼容模块最容易被欧盟追问的地方</t>
        </is>
      </c>
    </row>
    <row r="21" ht="27" customHeight="1" s="30">
      <c r="A21" s="9" t="inlineStr">
        <is>
          <t>EVD-018</t>
        </is>
      </c>
      <c r="B21" s="9" t="inlineStr">
        <is>
          <t>CBAM 钢材安装点包</t>
        </is>
      </c>
      <c r="C21" s="9" t="inlineStr">
        <is>
          <t>钢安装点 ID / 核验状态</t>
        </is>
      </c>
      <c r="D21" s="9">
        <f>IF(AND(INDEX('01_手动输入'!$G:$G,MATCH("steel_supplier_installation_id",'01_手动输入'!$B:$B,0))&lt;&gt;"",INDEX('01_手动输入'!$G:$G,MATCH("steel_verifier_status",'01_手动输入'!$B:$B,0))="已核验"),"证据齐备","待补证据")</f>
        <v/>
      </c>
      <c r="E21" s="9">
        <f>D21</f>
        <v/>
      </c>
      <c r="F21" s="9" t="inlineStr">
        <is>
          <t>供应商安装点主数据、排放报告、核验报告</t>
        </is>
      </c>
      <c r="G21" s="9" t="inlineStr">
        <is>
          <t>采购与上游核验团队</t>
        </is>
      </c>
      <c r="H21" s="9" t="inlineStr">
        <is>
          <t>供应商核验 + 合规复核</t>
        </is>
      </c>
      <c r="I21" s="9" t="inlineStr">
        <is>
          <t>高度敏感</t>
        </is>
      </c>
      <c r="J21" s="9" t="inlineStr">
        <is>
          <t>CBAM</t>
        </is>
      </c>
      <c r="K21" s="9" t="inlineStr">
        <is>
          <t>跟铝材一起形成 upstream shadow audit 样板</t>
        </is>
      </c>
    </row>
  </sheetData>
  <autoFilter ref="A3:K21"/>
  <mergeCells count="2">
    <mergeCell ref="A2:K2"/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0" customWidth="1" style="30" min="1" max="1"/>
    <col width="20" customWidth="1" style="30" min="2" max="2"/>
    <col width="22" customWidth="1" style="30" min="3" max="3"/>
    <col width="26" customWidth="1" style="30" min="4" max="4"/>
    <col width="24" customWidth="1" style="30" min="5" max="5"/>
    <col width="10" customWidth="1" style="30" min="6" max="7"/>
    <col width="12" customWidth="1" style="30" min="8" max="8"/>
  </cols>
  <sheetData>
    <row r="1">
      <c r="A1" s="33" t="inlineStr">
        <is>
          <t>校验规则：把 demo 变成真正可防错的原型</t>
        </is>
      </c>
      <c r="B1" s="22" t="n"/>
      <c r="C1" s="22" t="n"/>
      <c r="D1" s="22" t="n"/>
      <c r="E1" s="22" t="n"/>
      <c r="F1" s="22" t="n"/>
      <c r="G1" s="22" t="n"/>
      <c r="H1" s="23" t="n"/>
    </row>
    <row r="2">
      <c r="A2" s="24" t="inlineStr">
        <is>
          <t>这里不是法律条文原文，而是把“录错了就会出事”的地方，翻成普通人看得懂的检查规则。</t>
        </is>
      </c>
      <c r="B2" s="22" t="n"/>
      <c r="C2" s="22" t="n"/>
      <c r="D2" s="22" t="n"/>
      <c r="E2" s="22" t="n"/>
      <c r="F2" s="22" t="n"/>
      <c r="G2" s="22" t="n"/>
      <c r="H2" s="23" t="n"/>
    </row>
    <row r="3">
      <c r="A3" s="8" t="inlineStr">
        <is>
          <t>规则ID</t>
        </is>
      </c>
      <c r="B3" s="8" t="inlineStr">
        <is>
          <t>规则名称</t>
        </is>
      </c>
      <c r="C3" s="8" t="inlineStr">
        <is>
          <t>适用字段</t>
        </is>
      </c>
      <c r="D3" s="8" t="inlineStr">
        <is>
          <t>普通话解释</t>
        </is>
      </c>
      <c r="E3" s="8" t="inlineStr">
        <is>
          <t>失败后说明</t>
        </is>
      </c>
      <c r="F3" s="8" t="inlineStr">
        <is>
          <t>重要性</t>
        </is>
      </c>
      <c r="G3" s="8" t="inlineStr">
        <is>
          <t>当前结果</t>
        </is>
      </c>
      <c r="H3" s="8" t="inlineStr">
        <is>
          <t>主要影响制度</t>
        </is>
      </c>
    </row>
    <row r="4" ht="27" customHeight="1" s="30">
      <c r="A4" s="9" t="inlineStr">
        <is>
          <t>VAL-001</t>
        </is>
      </c>
      <c r="B4" s="9" t="inlineStr">
        <is>
          <t>必填字段不能为空</t>
        </is>
      </c>
      <c r="C4" s="9" t="inlineStr">
        <is>
          <t>通用主键字段</t>
        </is>
      </c>
      <c r="D4" s="9" t="inlineStr">
        <is>
          <t>制造商、型号、工厂、报告期这些最基本字段不能空着。</t>
        </is>
      </c>
      <c r="E4" s="9" t="inlineStr">
        <is>
          <t>空了就没有产品锚点，后面全断。</t>
        </is>
      </c>
      <c r="F4" s="9" t="inlineStr">
        <is>
          <t>P1</t>
        </is>
      </c>
      <c r="G4" s="9">
        <f>IF(AND(INDEX('01_手动输入'!$G:$G,MATCH("manufacturer_name",'01_手动输入'!$B:$B,0))&lt;&gt;"",INDEX('01_手动输入'!$G:$G,MATCH("model_code",'01_手动输入'!$B:$B,0))&lt;&gt;"",INDEX('01_手动输入'!$G:$G,MATCH("plant_code",'01_手动输入'!$B:$B,0))&lt;&gt;"",INDEX('01_手动输入'!$G:$G,MATCH("reporting_period",'01_手动输入'!$B:$B,0))&lt;&gt;""),"通过","失败")</f>
        <v/>
      </c>
      <c r="H4" s="9" t="inlineStr">
        <is>
          <t>EU+CBAM</t>
        </is>
      </c>
    </row>
    <row r="5" ht="27" customHeight="1" s="30">
      <c r="A5" s="9" t="inlineStr">
        <is>
          <t>VAL-002</t>
        </is>
      </c>
      <c r="B5" s="9" t="inlineStr">
        <is>
          <t>代码类字段必须存在</t>
        </is>
      </c>
      <c r="C5" s="9" t="inlineStr">
        <is>
          <t>model_code / plant_code / *_id</t>
        </is>
      </c>
      <c r="D5" s="9" t="inlineStr">
        <is>
          <t>产品代码、工厂代码、对象ID、安装点ID必须有。</t>
        </is>
      </c>
      <c r="E5" s="9" t="inlineStr">
        <is>
          <t>没有唯一 ID，系统无法对接也无法追责。</t>
        </is>
      </c>
      <c r="F5" s="9" t="inlineStr">
        <is>
          <t>P1</t>
        </is>
      </c>
      <c r="G5" s="9">
        <f>IF(AND(INDEX('01_手动输入'!$G:$G,MATCH("model_code",'01_手动输入'!$B:$B,0))&lt;&gt;"",INDEX('01_手动输入'!$G:$G,MATCH("plant_code",'01_手动输入'!$B:$B,0))&lt;&gt;"",INDEX('01_手动输入'!$G:$G,MATCH("qr_object_id",'01_手动输入'!$B:$B,0))&lt;&gt;""),"通过","失败")</f>
        <v/>
      </c>
      <c r="H5" s="9" t="inlineStr">
        <is>
          <t>EU+CBAM</t>
        </is>
      </c>
    </row>
    <row r="6" ht="27" customHeight="1" s="30">
      <c r="A6" s="9" t="inlineStr">
        <is>
          <t>VAL-003</t>
        </is>
      </c>
      <c r="B6" s="9" t="inlineStr">
        <is>
          <t>容量必须大于 0</t>
        </is>
      </c>
      <c r="C6" s="9" t="inlineStr">
        <is>
          <t>pack_capacity_kwh</t>
        </is>
      </c>
      <c r="D6" s="9" t="inlineStr">
        <is>
          <t>碳足迹要折算成每 kWh，容量不能为 0。</t>
        </is>
      </c>
      <c r="E6" s="9" t="inlineStr">
        <is>
          <t>容量错误会导致整张 PCF 表失真。</t>
        </is>
      </c>
      <c r="F6" s="9" t="inlineStr">
        <is>
          <t>P1</t>
        </is>
      </c>
      <c r="G6" s="9">
        <f>IF(INDEX('01_手动输入'!$G:$G,MATCH("pack_capacity_kwh",'01_手动输入'!$B:$B,0))&gt;0,"通过","失败")</f>
        <v/>
      </c>
      <c r="H6" s="9" t="inlineStr">
        <is>
          <t>EU</t>
        </is>
      </c>
    </row>
    <row r="7" ht="27" customHeight="1" s="30">
      <c r="A7" s="9" t="inlineStr">
        <is>
          <t>VAL-004</t>
        </is>
      </c>
      <c r="B7" s="9" t="inlineStr">
        <is>
          <t>核心产品参数必须为正数</t>
        </is>
      </c>
      <c r="C7" s="9" t="inlineStr">
        <is>
          <t>nominal_voltage_v / cycle_life_cycles</t>
        </is>
      </c>
      <c r="D7" s="9" t="inlineStr">
        <is>
          <t>电压、循环寿命至少要像个正常产品参数。</t>
        </is>
      </c>
      <c r="E7" s="9" t="inlineStr">
        <is>
          <t>如果是 0 或空值，说明主数据没准备好。</t>
        </is>
      </c>
      <c r="F7" s="9" t="inlineStr">
        <is>
          <t>P2</t>
        </is>
      </c>
      <c r="G7" s="9">
        <f>IF(AND(INDEX('01_手动输入'!$G:$G,MATCH("nominal_voltage_v",'01_手动输入'!$B:$B,0))&gt;0,INDEX('01_手动输入'!$G:$G,MATCH("cycle_life_cycles",'01_手动输入'!$B:$B,0))&gt;0),"通过","失败")</f>
        <v/>
      </c>
      <c r="H7" s="9" t="inlineStr">
        <is>
          <t>EU</t>
        </is>
      </c>
    </row>
    <row r="8" ht="27" customHeight="1" s="30">
      <c r="A8" s="9" t="inlineStr">
        <is>
          <t>VAL-005</t>
        </is>
      </c>
      <c r="B8" s="9" t="inlineStr">
        <is>
          <t>产品类别和化学体系不能缺</t>
        </is>
      </c>
      <c r="C8" s="9" t="inlineStr">
        <is>
          <t>battery_category / chemistry</t>
        </is>
      </c>
      <c r="D8" s="9" t="inlineStr">
        <is>
          <t>这是欧盟理解产品是什么的第一层信息。</t>
        </is>
      </c>
      <c r="E8" s="9" t="inlineStr">
        <is>
          <t>缺了就无法归类。</t>
        </is>
      </c>
      <c r="F8" s="9" t="inlineStr">
        <is>
          <t>P1</t>
        </is>
      </c>
      <c r="G8" s="9">
        <f>IF(AND(INDEX('01_手动输入'!$G:$G,MATCH("battery_category",'01_手动输入'!$B:$B,0))&lt;&gt;"",INDEX('01_手动输入'!$G:$G,MATCH("chemistry",'01_手动输入'!$B:$B,0))&lt;&gt;""),"通过","失败")</f>
        <v/>
      </c>
      <c r="H8" s="9" t="inlineStr">
        <is>
          <t>EU</t>
        </is>
      </c>
    </row>
    <row r="9" ht="27" customHeight="1" s="30">
      <c r="A9" s="9" t="inlineStr">
        <is>
          <t>VAL-006</t>
        </is>
      </c>
      <c r="B9" s="9" t="inlineStr">
        <is>
          <t>状态字段必须落在可理解状态中</t>
        </is>
      </c>
      <c r="C9" s="9" t="inlineStr">
        <is>
          <t>各类 *_status</t>
        </is>
      </c>
      <c r="D9" s="9" t="inlineStr">
        <is>
          <t>状态不能乱写，至少要在齐备/待补充/已核验这些词里。</t>
        </is>
      </c>
      <c r="E9" s="9" t="inlineStr">
        <is>
          <t>状态乱写会让项目经理和审计都看不懂。</t>
        </is>
      </c>
      <c r="F9" s="9" t="inlineStr">
        <is>
          <t>P2</t>
        </is>
      </c>
      <c r="G9" s="9">
        <f>IF(AND(OR(INDEX('01_手动输入'!$G:$G,MATCH("pcf_study_status",'01_手动输入'!$B:$B,0))="齐备",INDEX('01_手动输入'!$G:$G,MATCH("pcf_study_status",'01_手动输入'!$B:$B,0))="部分齐备",INDEX('01_手动输入'!$G:$G,MATCH("pcf_study_status",'01_手动输入'!$B:$B,0))="待补充"),OR(INDEX('01_手动输入'!$G:$G,MATCH("third_party_verification_status",'01_手动输入'!$B:$B,0))="已核验",INDEX('01_手动输入'!$G:$G,MATCH("third_party_verification_status",'01_手动输入'!$B:$B,0))="未核验",INDEX('01_手动输入'!$G:$G,MATCH("third_party_verification_status",'01_手动输入'!$B:$B,0))="待补充")),"通过","失败")</f>
        <v/>
      </c>
      <c r="H9" s="9" t="inlineStr">
        <is>
          <t>EU+CBAM</t>
        </is>
      </c>
    </row>
    <row r="10" ht="27" customHeight="1" s="30">
      <c r="A10" s="9" t="inlineStr">
        <is>
          <t>VAL-007</t>
        </is>
      </c>
      <c r="B10" s="9" t="inlineStr">
        <is>
          <t>百分比字段要在 0 到 1 之间</t>
        </is>
      </c>
      <c r="C10" s="9" t="inlineStr">
        <is>
          <t>coverage / recycled / yield</t>
        </is>
      </c>
      <c r="D10" s="9" t="inlineStr">
        <is>
          <t>这张表统一用 0.92 这种小数，不用 92。</t>
        </is>
      </c>
      <c r="E10" s="9" t="inlineStr">
        <is>
          <t>格式错了会把结果放大 100 倍。</t>
        </is>
      </c>
      <c r="F10" s="9" t="inlineStr">
        <is>
          <t>P1</t>
        </is>
      </c>
      <c r="G10" s="9">
        <f>IF(AND(INDEX('01_手动输入'!$G:$G,MATCH("supplier_traceability_coverage_pct",'01_手动输入'!$B:$B,0))&gt;=0,INDEX('01_手动输入'!$G:$G,MATCH("supplier_traceability_coverage_pct",'01_手动输入'!$B:$B,0))&lt;=1,INDEX('01_手动输入'!$G:$G,MATCH("supplier_pcf_coverage_pct",'01_手动输入'!$B:$B,0))&gt;=0,INDEX('01_手动输入'!$G:$G,MATCH("supplier_pcf_coverage_pct",'01_手动输入'!$B:$B,0))&lt;=1,INDEX('01_手动输入'!$G:$G,MATCH("recycled_lithium_pct",'01_手动输入'!$B:$B,0))&gt;=0,INDEX('01_手动输入'!$G:$G,MATCH("recycled_lithium_pct",'01_手动输入'!$B:$B,0))&lt;=1),"通过","失败")</f>
        <v/>
      </c>
      <c r="H10" s="9" t="inlineStr">
        <is>
          <t>EU+CBAM</t>
        </is>
      </c>
    </row>
    <row r="11" ht="27" customHeight="1" s="30">
      <c r="A11" s="9" t="inlineStr">
        <is>
          <t>VAL-008</t>
        </is>
      </c>
      <c r="B11" s="9" t="inlineStr">
        <is>
          <t>质量数据不能为负</t>
        </is>
      </c>
      <c r="C11" s="9" t="inlineStr">
        <is>
          <t>各类 *_mass_kg</t>
        </is>
      </c>
      <c r="D11" s="9" t="inlineStr">
        <is>
          <t>材料质量不能小于 0。</t>
        </is>
      </c>
      <c r="E11" s="9" t="inlineStr">
        <is>
          <t>负数通常是录错单位或录错方向。</t>
        </is>
      </c>
      <c r="F11" s="9" t="inlineStr">
        <is>
          <t>P1</t>
        </is>
      </c>
      <c r="G11" s="9">
        <f>IF(AND(INDEX('01_手动输入'!$G:$G,MATCH("cathode_mass_kg",'01_手动输入'!$B:$B,0))&gt;=0,INDEX('01_手动输入'!$G:$G,MATCH("aluminium_mass_kg",'01_手动输入'!$B:$B,0))&gt;=0,INDEX('01_手动输入'!$G:$G,MATCH("steel_mass_kg",'01_手动输入'!$B:$B,0))&gt;=0),"通过","失败")</f>
        <v/>
      </c>
      <c r="H11" s="9" t="inlineStr">
        <is>
          <t>EU+CBAM</t>
        </is>
      </c>
    </row>
    <row r="12" ht="27" customHeight="1" s="30">
      <c r="A12" s="9" t="inlineStr">
        <is>
          <t>VAL-009</t>
        </is>
      </c>
      <c r="B12" s="9" t="inlineStr">
        <is>
          <t>排放因子不能为负</t>
        </is>
      </c>
      <c r="C12" s="9" t="inlineStr">
        <is>
          <t>各类 pcf / factor</t>
        </is>
      </c>
      <c r="D12" s="9" t="inlineStr">
        <is>
          <t>因子最少也应该是 0，不应该出现负数。</t>
        </is>
      </c>
      <c r="E12" s="9" t="inlineStr">
        <is>
          <t>因子错误会把计算全部带偏。</t>
        </is>
      </c>
      <c r="F12" s="9" t="inlineStr">
        <is>
          <t>P1</t>
        </is>
      </c>
      <c r="G12" s="9">
        <f>IF(AND(INDEX('01_手动输入'!$G:$G,MATCH("cathode_pcf",'01_手动输入'!$B:$B,0))&gt;=0,INDEX('01_手动输入'!$G:$G,MATCH("grid_electricity_factor",'01_手动输入'!$B:$B,0))&gt;=0,INDEX('01_手动输入'!$G:$G,MATCH("aluminium_direct_pcf",'01_手动输入'!$B:$B,0))&gt;=0,INDEX('01_手动输入'!$G:$G,MATCH("steel_direct_pcf",'01_手动输入'!$B:$B,0))&gt;=0),"通过","失败")</f>
        <v/>
      </c>
      <c r="H12" s="9" t="inlineStr">
        <is>
          <t>EU+CBAM</t>
        </is>
      </c>
    </row>
    <row r="13" ht="27" customHeight="1" s="30">
      <c r="A13" s="9" t="inlineStr">
        <is>
          <t>VAL-010</t>
        </is>
      </c>
      <c r="B13" s="9" t="inlineStr">
        <is>
          <t>制造能耗数据不能为负</t>
        </is>
      </c>
      <c r="C13" s="9" t="inlineStr">
        <is>
          <t>电/蒸汽/天然气/运输</t>
        </is>
      </c>
      <c r="D13" s="9" t="inlineStr">
        <is>
          <t>工厂能耗和运输排放不能录成负数。</t>
        </is>
      </c>
      <c r="E13" s="9" t="inlineStr">
        <is>
          <t>这是最常见的单位和符号错误。</t>
        </is>
      </c>
      <c r="F13" s="9" t="inlineStr">
        <is>
          <t>P1</t>
        </is>
      </c>
      <c r="G13" s="9">
        <f>IF(AND(INDEX('01_手动输入'!$G:$G,MATCH("grid_electricity_kwh",'01_手动输入'!$B:$B,0))&gt;=0,INDEX('01_手动输入'!$G:$G,MATCH("steam_mj",'01_手动输入'!$B:$B,0))&gt;=0,INDEX('01_手动输入'!$G:$G,MATCH("natural_gas_mj",'01_手动输入'!$B:$B,0))&gt;=0,INDEX('01_手动输入'!$G:$G,MATCH("inbound_transport_kgco2",'01_手动输入'!$B:$B,0))&gt;=0,INDEX('01_手动输入'!$G:$G,MATCH("outbound_transport_kgco2",'01_手动输入'!$B:$B,0))&gt;=0),"通过","失败")</f>
        <v/>
      </c>
      <c r="H13" s="9" t="inlineStr">
        <is>
          <t>EU+CBAM</t>
        </is>
      </c>
    </row>
    <row r="14" ht="27" customHeight="1" s="30">
      <c r="A14" s="9" t="inlineStr">
        <is>
          <t>VAL-011</t>
        </is>
      </c>
      <c r="B14" s="9" t="inlineStr">
        <is>
          <t>良率必须在 0 到 1 之间</t>
        </is>
      </c>
      <c r="C14" s="9" t="inlineStr">
        <is>
          <t>production_yield_pct</t>
        </is>
      </c>
      <c r="D14" s="9" t="inlineStr">
        <is>
          <t>良率如果超过 1，基本就是把 94% 误填成 94。</t>
        </is>
      </c>
      <c r="E14" s="9" t="inlineStr">
        <is>
          <t>会严重误导单位产品分摊。</t>
        </is>
      </c>
      <c r="F14" s="9" t="inlineStr">
        <is>
          <t>P1</t>
        </is>
      </c>
      <c r="G14" s="9">
        <f>IF(AND(INDEX('01_手动输入'!$G:$G,MATCH("production_yield_pct",'01_手动输入'!$B:$B,0))&gt;0,INDEX('01_手动输入'!$G:$G,MATCH("production_yield_pct",'01_手动输入'!$B:$B,0))&lt;=1),"通过","失败")</f>
        <v/>
      </c>
      <c r="H14" s="9" t="inlineStr">
        <is>
          <t>EU</t>
        </is>
      </c>
    </row>
    <row r="15" ht="40.5" customHeight="1" s="30">
      <c r="A15" s="9" t="inlineStr">
        <is>
          <t>VAL-012</t>
        </is>
      </c>
      <c r="B15" s="9" t="inlineStr">
        <is>
          <t>产品报告期和上游报告期要能对齐</t>
        </is>
      </c>
      <c r="C15" s="9" t="inlineStr">
        <is>
          <t>reporting_period / upstream_reporting_period</t>
        </is>
      </c>
      <c r="D15" s="9" t="inlineStr">
        <is>
          <t>上下游报告期最好一致，至少要能解释得通。</t>
        </is>
      </c>
      <c r="E15" s="9" t="inlineStr">
        <is>
          <t>不对齐时最容易被质疑数据拼接。</t>
        </is>
      </c>
      <c r="F15" s="9" t="inlineStr">
        <is>
          <t>P2</t>
        </is>
      </c>
      <c r="G15" s="9">
        <f>IF(INDEX('01_手动输入'!$G:$G,MATCH("reporting_period",'01_手动输入'!$B:$B,0))=INDEX('01_手动输入'!$G:$G,MATCH("upstream_reporting_period",'01_手动输入'!$B:$B,0)),"通过","失败")</f>
        <v/>
      </c>
      <c r="H15" s="9" t="inlineStr">
        <is>
          <t>EU+CBAM</t>
        </is>
      </c>
    </row>
    <row r="16" ht="27" customHeight="1" s="30">
      <c r="A16" s="9" t="inlineStr">
        <is>
          <t>VAL-013</t>
        </is>
      </c>
      <c r="B16" s="9" t="inlineStr">
        <is>
          <t>有铝钢质量就要有安装点 ID</t>
        </is>
      </c>
      <c r="C16" s="9" t="inlineStr">
        <is>
          <t>aluminium / steel installation</t>
        </is>
      </c>
      <c r="D16" s="9" t="inlineStr">
        <is>
          <t>只要铝材和钢材用量大于 0，就应带出安装点 ID。</t>
        </is>
      </c>
      <c r="E16" s="9" t="inlineStr">
        <is>
          <t>否则 CBAM 影子链条无法落到 installation 级。</t>
        </is>
      </c>
      <c r="F16" s="9" t="inlineStr">
        <is>
          <t>P1</t>
        </is>
      </c>
      <c r="G16" s="9">
        <f>IF(AND(IF(INDEX('01_手动输入'!$G:$G,MATCH("aluminium_mass_kg",'01_手动输入'!$B:$B,0))&gt;0,INDEX('01_手动输入'!$G:$G,MATCH("aluminium_supplier_installation_id",'01_手动输入'!$B:$B,0))&lt;&gt;"",TRUE),IF(INDEX('01_手动输入'!$G:$G,MATCH("steel_mass_kg",'01_手动输入'!$B:$B,0))&gt;0,INDEX('01_手动输入'!$G:$G,MATCH("steel_supplier_installation_id",'01_手动输入'!$B:$B,0))&lt;&gt;"",TRUE)),"通过","失败")</f>
        <v/>
      </c>
      <c r="H16" s="9" t="inlineStr">
        <is>
          <t>CBAM</t>
        </is>
      </c>
    </row>
    <row r="17" ht="40.5" customHeight="1" s="30">
      <c r="A17" s="9" t="inlineStr">
        <is>
          <t>VAL-014</t>
        </is>
      </c>
      <c r="B17" s="9" t="inlineStr">
        <is>
          <t>正式合规状态要互相印证</t>
        </is>
      </c>
      <c r="C17" s="9" t="inlineStr">
        <is>
          <t>PCF / 测试 / 技术 / 第三方</t>
        </is>
      </c>
      <c r="D17" s="9" t="inlineStr">
        <is>
          <t>如果说已经准备合规，就不能只有结果没有文档和核验状态。</t>
        </is>
      </c>
      <c r="E17" s="9" t="inlineStr">
        <is>
          <t>这是 demo 变正式项目时最容易露馅的地方。</t>
        </is>
      </c>
      <c r="F17" s="9" t="inlineStr">
        <is>
          <t>P1</t>
        </is>
      </c>
      <c r="G17" s="9">
        <f>IF(AND(INDEX('01_手动输入'!$G:$G,MATCH("pcf_study_status",'01_手动输入'!$B:$B,0))="齐备",INDEX('01_手动输入'!$G:$G,MATCH("test_report_status",'01_手动输入'!$B:$B,0))="齐备",INDEX('01_手动输入'!$G:$G,MATCH("technical_doc_status",'01_手动输入'!$B:$B,0))="齐备",INDEX('01_手动输入'!$G:$G,MATCH("third_party_verification_status",'01_手动输入'!$B:$B,0))="已核验"),"通过","失败")</f>
        <v/>
      </c>
      <c r="H17" s="9" t="inlineStr">
        <is>
          <t>EU+CBAM</t>
        </is>
      </c>
    </row>
    <row r="18" ht="27" customHeight="1" s="30">
      <c r="A18" s="9" t="inlineStr">
        <is>
          <t>VAL-015</t>
        </is>
      </c>
      <c r="B18" s="9" t="inlineStr">
        <is>
          <t>尽调政策链接要像个链接</t>
        </is>
      </c>
      <c r="C18" s="9" t="inlineStr">
        <is>
          <t>due_diligence_policy_url</t>
        </is>
      </c>
      <c r="D18" s="9" t="inlineStr">
        <is>
          <t>至少要以 http 开头，方便检查。</t>
        </is>
      </c>
      <c r="E18" s="9" t="inlineStr">
        <is>
          <t>没有链接，公开字段会断。</t>
        </is>
      </c>
      <c r="F18" s="9" t="inlineStr">
        <is>
          <t>P3</t>
        </is>
      </c>
      <c r="G18" s="9">
        <f>IF(LEFT(INDEX('01_手动输入'!$G:$G,MATCH("due_diligence_policy_url",'01_手动输入'!$B:$B,0)),4)="http","通过","失败")</f>
        <v/>
      </c>
      <c r="H18" s="9" t="inlineStr">
        <is>
          <t>EU</t>
        </is>
      </c>
    </row>
  </sheetData>
  <autoFilter ref="A3:H18"/>
  <mergeCells count="2"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0" customWidth="1" style="30" min="1" max="1"/>
    <col width="22" customWidth="1" style="30" min="2" max="2"/>
    <col width="18" customWidth="1" style="30" min="3" max="3"/>
    <col width="26" customWidth="1" style="30" min="4" max="4"/>
    <col width="16" customWidth="1" style="30" min="5" max="5"/>
    <col width="10" customWidth="1" style="30" min="6" max="6"/>
    <col width="18" customWidth="1" style="30" min="7" max="7"/>
    <col width="24" customWidth="1" style="30" min="8" max="9"/>
  </cols>
  <sheetData>
    <row r="1">
      <c r="A1" s="33" t="inlineStr">
        <is>
          <t>缺口清单：把 demo 和企业真正落地之间还差什么写清楚</t>
        </is>
      </c>
      <c r="B1" s="22" t="n"/>
      <c r="C1" s="22" t="n"/>
      <c r="D1" s="22" t="n"/>
      <c r="E1" s="22" t="n"/>
      <c r="F1" s="22" t="n"/>
      <c r="G1" s="22" t="n"/>
      <c r="H1" s="22" t="n"/>
      <c r="I1" s="23" t="n"/>
    </row>
    <row r="2">
      <c r="A2" s="24" t="inlineStr">
        <is>
          <t>这张表很重要，因为它帮助你诚实地讲：我们已经做到了什么，还没有做到什么，下一步先补哪几个洞。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</row>
    <row r="3">
      <c r="A3" s="8" t="inlineStr">
        <is>
          <t>Gap ID</t>
        </is>
      </c>
      <c r="B3" s="8" t="inlineStr">
        <is>
          <t>缺口主题</t>
        </is>
      </c>
      <c r="C3" s="8" t="inlineStr">
        <is>
          <t>当前状态</t>
        </is>
      </c>
      <c r="D3" s="8" t="inlineStr">
        <is>
          <t>为什么重要</t>
        </is>
      </c>
      <c r="E3" s="8" t="inlineStr">
        <is>
          <t>影响层</t>
        </is>
      </c>
      <c r="F3" s="8" t="inlineStr">
        <is>
          <t>优先级</t>
        </is>
      </c>
      <c r="G3" s="8" t="inlineStr">
        <is>
          <t>建议责任人</t>
        </is>
      </c>
      <c r="H3" s="8" t="inlineStr">
        <is>
          <t>下一步里程碑</t>
        </is>
      </c>
      <c r="I3" s="8" t="inlineStr">
        <is>
          <t>备注</t>
        </is>
      </c>
    </row>
    <row r="4" ht="27" customHeight="1" s="30">
      <c r="A4" s="9" t="inlineStr">
        <is>
          <t>GAP-001</t>
        </is>
      </c>
      <c r="B4" s="9" t="inlineStr">
        <is>
          <t>公司级披露还没完全拆到产品+工厂级</t>
        </is>
      </c>
      <c r="C4" s="9" t="inlineStr">
        <is>
          <t>已在结构上支持，但仍是 demo 值</t>
        </is>
      </c>
      <c r="D4" s="9" t="inlineStr">
        <is>
          <t>欧盟电池法最看重 model + plant 级，不是公司年报级。</t>
        </is>
      </c>
      <c r="E4" s="9" t="inlineStr">
        <is>
          <t>字段映射</t>
        </is>
      </c>
      <c r="F4" s="9" t="inlineStr">
        <is>
          <t>P1</t>
        </is>
      </c>
      <c r="G4" s="9" t="inlineStr">
        <is>
          <t>产品主数据+工厂EHS</t>
        </is>
      </c>
      <c r="H4" s="9" t="inlineStr">
        <is>
          <t>建立型号-工厂-报告期绑定表</t>
        </is>
      </c>
      <c r="I4" s="9" t="inlineStr">
        <is>
          <t>这是从 ESG 叙事走向产品合规的第一步</t>
        </is>
      </c>
    </row>
    <row r="5" ht="27" customHeight="1" s="30">
      <c r="A5" s="9" t="inlineStr">
        <is>
          <t>GAP-002</t>
        </is>
      </c>
      <c r="B5" s="9" t="inlineStr">
        <is>
          <t>材料用量仍未拆到供应商/材料等级级别</t>
        </is>
      </c>
      <c r="C5" s="9" t="inlineStr">
        <is>
          <t>当前只到申报单元聚合层</t>
        </is>
      </c>
      <c r="D5" s="9" t="inlineStr">
        <is>
          <t>没有供应商层，EU 尽调和 CBAM 影子模块都会偏弱。</t>
        </is>
      </c>
      <c r="E5" s="9" t="inlineStr">
        <is>
          <t>字段映射+证据映射</t>
        </is>
      </c>
      <c r="F5" s="9" t="inlineStr">
        <is>
          <t>P1</t>
        </is>
      </c>
      <c r="G5" s="9" t="inlineStr">
        <is>
          <t>研发BOM+采购</t>
        </is>
      </c>
      <c r="H5" s="9" t="inlineStr">
        <is>
          <t>把关键原料拆到供应商和材料等级</t>
        </is>
      </c>
      <c r="I5" s="9" t="inlineStr">
        <is>
          <t>铝、钢、锂、石墨优先</t>
        </is>
      </c>
    </row>
    <row r="6" ht="27" customHeight="1" s="30">
      <c r="A6" s="9" t="inlineStr">
        <is>
          <t>GAP-003</t>
        </is>
      </c>
      <c r="B6" s="9" t="inlineStr">
        <is>
          <t>中国口径因子还未形成欧盟可接受转换规则</t>
        </is>
      </c>
      <c r="C6" s="9" t="inlineStr">
        <is>
          <t>当前是 demo 因子</t>
        </is>
      </c>
      <c r="D6" s="9" t="inlineStr">
        <is>
          <t>这是老师和欧盟最容易追问的点。</t>
        </is>
      </c>
      <c r="E6" s="9" t="inlineStr">
        <is>
          <t>字段映射+核验映射</t>
        </is>
      </c>
      <c r="F6" s="9" t="inlineStr">
        <is>
          <t>P1</t>
        </is>
      </c>
      <c r="G6" s="9" t="inlineStr">
        <is>
          <t>LCA+法规合规</t>
        </is>
      </c>
      <c r="H6" s="9" t="inlineStr">
        <is>
          <t>形成中欧因子转换说明和替代规则</t>
        </is>
      </c>
      <c r="I6" s="9" t="inlineStr">
        <is>
          <t>也是 HKU 方案最有价值的地方</t>
        </is>
      </c>
    </row>
    <row r="7" ht="27" customHeight="1" s="30">
      <c r="A7" s="9" t="inlineStr">
        <is>
          <t>GAP-004</t>
        </is>
      </c>
      <c r="B7" s="9" t="inlineStr">
        <is>
          <t>真实证据文件尚未建立索引仓</t>
        </is>
      </c>
      <c r="C7" s="9" t="inlineStr">
        <is>
          <t>当前只有证据包逻辑，没有挂真实文件</t>
        </is>
      </c>
      <c r="D7" s="9" t="inlineStr">
        <is>
          <t>没有证据仓，就还不是企业工具。</t>
        </is>
      </c>
      <c r="E7" s="9" t="inlineStr">
        <is>
          <t>证据映射</t>
        </is>
      </c>
      <c r="F7" s="9" t="inlineStr">
        <is>
          <t>P1</t>
        </is>
      </c>
      <c r="G7" s="9" t="inlineStr">
        <is>
          <t>合规PMO+IT</t>
        </is>
      </c>
      <c r="H7" s="9" t="inlineStr">
        <is>
          <t>建立证据索引与版本号</t>
        </is>
      </c>
      <c r="I7" s="9" t="inlineStr">
        <is>
          <t>后续可接 SharePoint/DMS</t>
        </is>
      </c>
    </row>
    <row r="8" ht="27" customHeight="1" s="30">
      <c r="A8" s="9" t="inlineStr">
        <is>
          <t>GAP-005</t>
        </is>
      </c>
      <c r="B8" s="9" t="inlineStr">
        <is>
          <t>第三方核验链还只是状态字段</t>
        </is>
      </c>
      <c r="C8" s="9" t="inlineStr">
        <is>
          <t>当前没有真正接 NB/TUV 流程</t>
        </is>
      </c>
      <c r="D8" s="9" t="inlineStr">
        <is>
          <t>没有正式核验，就不能当成对外法定结果。</t>
        </is>
      </c>
      <c r="E8" s="9" t="inlineStr">
        <is>
          <t>核验映射</t>
        </is>
      </c>
      <c r="F8" s="9" t="inlineStr">
        <is>
          <t>P1</t>
        </is>
      </c>
      <c r="G8" s="9" t="inlineStr">
        <is>
          <t>法规合规团队</t>
        </is>
      </c>
      <c r="H8" s="9" t="inlineStr">
        <is>
          <t>形成影子核验与正式核验双轨</t>
        </is>
      </c>
      <c r="I8" s="9" t="inlineStr">
        <is>
          <t>要坦诚讲清楚</t>
        </is>
      </c>
    </row>
    <row r="9" ht="27" customHeight="1" s="30">
      <c r="A9" s="9" t="inlineStr">
        <is>
          <t>GAP-006</t>
        </is>
      </c>
      <c r="B9" s="9" t="inlineStr">
        <is>
          <t>访问矩阵已建字段，但没接实际权限系统</t>
        </is>
      </c>
      <c r="C9" s="9" t="inlineStr">
        <is>
          <t>逻辑层已搭好</t>
        </is>
      </c>
      <c r="D9" s="9" t="inlineStr">
        <is>
          <t>企业最怕敏感数据扩散。</t>
        </is>
      </c>
      <c r="E9" s="9" t="inlineStr">
        <is>
          <t>权限映射</t>
        </is>
      </c>
      <c r="F9" s="9" t="inlineStr">
        <is>
          <t>P1</t>
        </is>
      </c>
      <c r="G9" s="9" t="inlineStr">
        <is>
          <t>IT+法务+合规</t>
        </is>
      </c>
      <c r="H9" s="9" t="inlineStr">
        <is>
          <t>把角色权限落到系统和接口</t>
        </is>
      </c>
      <c r="I9" s="9" t="inlineStr">
        <is>
          <t>这是香港/欧盟/大陆三方信任的关键</t>
        </is>
      </c>
    </row>
    <row r="10" ht="27" customHeight="1" s="30">
      <c r="A10" s="9" t="inlineStr">
        <is>
          <t>GAP-007</t>
        </is>
      </c>
      <c r="B10" s="9" t="inlineStr">
        <is>
          <t>个体电池序列化仍是前缀级 demo</t>
        </is>
      </c>
      <c r="C10" s="9" t="inlineStr">
        <is>
          <t>还没到单只电池真实序列号</t>
        </is>
      </c>
      <c r="D10" s="9" t="inlineStr">
        <is>
          <t>未来数字护照会更强调个体级数据。</t>
        </is>
      </c>
      <c r="E10" s="9" t="inlineStr">
        <is>
          <t>字段映射</t>
        </is>
      </c>
      <c r="F10" s="9" t="inlineStr">
        <is>
          <t>P2</t>
        </is>
      </c>
      <c r="G10" s="9" t="inlineStr">
        <is>
          <t>数字化产品团队</t>
        </is>
      </c>
      <c r="H10" s="9" t="inlineStr">
        <is>
          <t>建立序列号与护照对象映射</t>
        </is>
      </c>
      <c r="I10" s="9" t="inlineStr">
        <is>
          <t>现在先用 prefix 过渡</t>
        </is>
      </c>
    </row>
    <row r="11" ht="27" customHeight="1" s="30">
      <c r="A11" s="9" t="inlineStr">
        <is>
          <t>GAP-008</t>
        </is>
      </c>
      <c r="B11" s="9" t="inlineStr">
        <is>
          <t>绿电证明还缺时间匹配和地域匹配</t>
        </is>
      </c>
      <c r="C11" s="9" t="inlineStr">
        <is>
          <t>当前只有数量和因子</t>
        </is>
      </c>
      <c r="D11" s="9" t="inlineStr">
        <is>
          <t>欧盟对绿电认定比国内叙事更严格。</t>
        </is>
      </c>
      <c r="E11" s="9" t="inlineStr">
        <is>
          <t>证据映射+核验映射</t>
        </is>
      </c>
      <c r="F11" s="9" t="inlineStr">
        <is>
          <t>P2</t>
        </is>
      </c>
      <c r="G11" s="9" t="inlineStr">
        <is>
          <t>能源团队</t>
        </is>
      </c>
      <c r="H11" s="9" t="inlineStr">
        <is>
          <t>补 PPA/绿证的匹配规则</t>
        </is>
      </c>
      <c r="I11" s="9" t="inlineStr">
        <is>
          <t>避免“名义绿电”争议</t>
        </is>
      </c>
    </row>
    <row r="12" ht="27" customHeight="1" s="30">
      <c r="A12" s="9" t="inlineStr">
        <is>
          <t>GAP-009</t>
        </is>
      </c>
      <c r="B12" s="9" t="inlineStr">
        <is>
          <t>运输与回收仍偏方法学假设</t>
        </is>
      </c>
      <c r="C12" s="9" t="inlineStr">
        <is>
          <t>当前是单条 demo 值</t>
        </is>
      </c>
      <c r="D12" s="9" t="inlineStr">
        <is>
          <t>如果路线和边界不真实，PCF 很容易被质疑。</t>
        </is>
      </c>
      <c r="E12" s="9" t="inlineStr">
        <is>
          <t>生命周期计算</t>
        </is>
      </c>
      <c r="F12" s="9" t="inlineStr">
        <is>
          <t>P2</t>
        </is>
      </c>
      <c r="G12" s="9" t="inlineStr">
        <is>
          <t>LCA与物流团队</t>
        </is>
      </c>
      <c r="H12" s="9" t="inlineStr">
        <is>
          <t>按真实物流路径重算</t>
        </is>
      </c>
      <c r="I12" s="9" t="inlineStr">
        <is>
          <t>适合第二阶段补</t>
        </is>
      </c>
    </row>
    <row r="13" ht="54" customHeight="1" s="30">
      <c r="A13" s="9" t="inlineStr">
        <is>
          <t>GAP-010</t>
        </is>
      </c>
      <c r="B13" s="9" t="inlineStr">
        <is>
          <t>CBAM 模块目前是 upstream shadow audit，不是正式电池申报</t>
        </is>
      </c>
      <c r="C13" s="9" t="inlineStr">
        <is>
          <t>概念上正确，法定范围需继续解释</t>
        </is>
      </c>
      <c r="D13" s="9" t="inlineStr">
        <is>
          <t>必须避免把 CBAM 讲成已经直接覆盖整块电池。</t>
        </is>
      </c>
      <c r="E13" s="9" t="inlineStr">
        <is>
          <t>方案叙事</t>
        </is>
      </c>
      <c r="F13" s="9" t="inlineStr">
        <is>
          <t>P1</t>
        </is>
      </c>
      <c r="G13" s="9" t="inlineStr">
        <is>
          <t>汇报主讲人</t>
        </is>
      </c>
      <c r="H13" s="9" t="inlineStr">
        <is>
          <t>在 PPT 中明确“兼容上游 CBAM 风格字段”</t>
        </is>
      </c>
      <c r="I13" s="9" t="inlineStr">
        <is>
          <t>这是可行性与严谨性的平衡点</t>
        </is>
      </c>
    </row>
    <row r="14" ht="27" customHeight="1" s="30">
      <c r="A14" s="9" t="inlineStr">
        <is>
          <t>GAP-011</t>
        </is>
      </c>
      <c r="B14" s="9" t="inlineStr">
        <is>
          <t>Tractus-X/Catena-X 还没接真实连接器</t>
        </is>
      </c>
      <c r="C14" s="9" t="inlineStr">
        <is>
          <t>当前仅完成表结构与前端适配层</t>
        </is>
      </c>
      <c r="D14" s="9" t="inlineStr">
        <is>
          <t>没有接口就还不是自动传输系统。</t>
        </is>
      </c>
      <c r="E14" s="9" t="inlineStr">
        <is>
          <t>前端/API</t>
        </is>
      </c>
      <c r="F14" s="9" t="inlineStr">
        <is>
          <t>P2</t>
        </is>
      </c>
      <c r="G14" s="9" t="inlineStr">
        <is>
          <t>数字化产品+前端</t>
        </is>
      </c>
      <c r="H14" s="9" t="inlineStr">
        <is>
          <t>用前端导出视图做第一版 API schema</t>
        </is>
      </c>
      <c r="I14" s="9" t="inlineStr">
        <is>
          <t>这一步已经具备工程起点</t>
        </is>
      </c>
    </row>
    <row r="15" ht="27" customHeight="1" s="30">
      <c r="A15" s="9" t="inlineStr">
        <is>
          <t>GAP-012</t>
        </is>
      </c>
      <c r="B15" s="9" t="inlineStr">
        <is>
          <t>中国数据出境与香港中立角色仍需法务边界确认</t>
        </is>
      </c>
      <c r="C15" s="9" t="inlineStr">
        <is>
          <t>方案层已识别风险</t>
        </is>
      </c>
      <c r="D15" s="9" t="inlineStr">
        <is>
          <t>这是政治/法务风险，不是 Excel 能解决的。</t>
        </is>
      </c>
      <c r="E15" s="9" t="inlineStr">
        <is>
          <t>治理层</t>
        </is>
      </c>
      <c r="F15" s="9" t="inlineStr">
        <is>
          <t>P1</t>
        </is>
      </c>
      <c r="G15" s="9" t="inlineStr">
        <is>
          <t>法务+管理层</t>
        </is>
      </c>
      <c r="H15" s="9" t="inlineStr">
        <is>
          <t>形成不出敏感明细的最小披露策略</t>
        </is>
      </c>
      <c r="I15" s="9" t="inlineStr">
        <is>
          <t>要持续诚实面对</t>
        </is>
      </c>
    </row>
  </sheetData>
  <autoFilter ref="A3:I15"/>
  <mergeCells count="2">
    <mergeCell ref="A1:I1"/>
    <mergeCell ref="A2:I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0" customWidth="1" style="30" min="1" max="1"/>
    <col width="24" customWidth="1" style="30" min="2" max="2"/>
    <col width="22" customWidth="1" style="30" min="3" max="3"/>
    <col width="24" customWidth="1" style="30" min="4" max="5"/>
    <col width="12" customWidth="1" style="30" min="6" max="6"/>
  </cols>
  <sheetData>
    <row r="1">
      <c r="A1" s="33" t="inlineStr">
        <is>
          <t>假设与限制：把能做和不能做说清楚，反而更专业</t>
        </is>
      </c>
      <c r="B1" s="22" t="n"/>
      <c r="C1" s="22" t="n"/>
      <c r="D1" s="22" t="n"/>
      <c r="E1" s="22" t="n"/>
      <c r="F1" s="23" t="n"/>
    </row>
    <row r="2">
      <c r="A2" s="24" t="inlineStr">
        <is>
          <t>你后面给老师、同学、企业高管讲这套工具时，这张表就是你的“防误解护城河”。</t>
        </is>
      </c>
      <c r="B2" s="22" t="n"/>
      <c r="C2" s="22" t="n"/>
      <c r="D2" s="22" t="n"/>
      <c r="E2" s="22" t="n"/>
      <c r="F2" s="23" t="n"/>
    </row>
    <row r="3">
      <c r="A3" s="8" t="inlineStr">
        <is>
          <t>编号</t>
        </is>
      </c>
      <c r="B3" s="8" t="inlineStr">
        <is>
          <t>假设/限制</t>
        </is>
      </c>
      <c r="C3" s="8" t="inlineStr">
        <is>
          <t>这意味着什么</t>
        </is>
      </c>
      <c r="D3" s="8" t="inlineStr">
        <is>
          <t>对比赛叙事的影响</t>
        </is>
      </c>
      <c r="E3" s="8" t="inlineStr">
        <is>
          <t>后续如何补强</t>
        </is>
      </c>
      <c r="F3" s="8" t="inlineStr">
        <is>
          <t>当前等级</t>
        </is>
      </c>
    </row>
    <row r="4" ht="40.5" customHeight="1" s="30">
      <c r="A4" s="9" t="inlineStr">
        <is>
          <t>ASM-001</t>
        </is>
      </c>
      <c r="B4" s="9" t="inlineStr">
        <is>
          <t>当前产品数据是公开架构 + demo 数值，不是真实 CATL 内部报送值</t>
        </is>
      </c>
      <c r="C4" s="9" t="inlineStr">
        <is>
          <t>这是一套原型，不是法定申报包</t>
        </is>
      </c>
      <c r="D4" s="9" t="inlineStr">
        <is>
          <t>可以讲方法，不要冒充正式报送</t>
        </is>
      </c>
      <c r="E4" s="9" t="inlineStr">
        <is>
          <t>后续接真实企业数据</t>
        </is>
      </c>
      <c r="F4" s="9" t="inlineStr">
        <is>
          <t>必须说明</t>
        </is>
      </c>
    </row>
    <row r="5" ht="27" customHeight="1" s="30">
      <c r="A5" s="9" t="inlineStr">
        <is>
          <t>ASM-002</t>
        </is>
      </c>
      <c r="B5" s="9" t="inlineStr">
        <is>
          <t>欧盟电池法规下部分实施细则还会继续细化</t>
        </is>
      </c>
      <c r="C5" s="9" t="inlineStr">
        <is>
          <t>字段框架可以先搭，但具体格式未来可能更新</t>
        </is>
      </c>
      <c r="D5" s="9" t="inlineStr">
        <is>
          <t>讲“可升级结构”而不是“一步到位”</t>
        </is>
      </c>
      <c r="E5" s="9" t="inlineStr">
        <is>
          <t>保留版本管理和规则更新机制</t>
        </is>
      </c>
      <c r="F5" s="9" t="inlineStr">
        <is>
          <t>必须说明</t>
        </is>
      </c>
    </row>
    <row r="6" ht="27" customHeight="1" s="30">
      <c r="A6" s="9" t="inlineStr">
        <is>
          <t>ASM-003</t>
        </is>
      </c>
      <c r="B6" s="9" t="inlineStr">
        <is>
          <t>CBAM 当前不等于直接覆盖整块动力电池</t>
        </is>
      </c>
      <c r="C6" s="9" t="inlineStr">
        <is>
          <t>我们这里做的是上游材料 CBAM 风格兼容模块</t>
        </is>
      </c>
      <c r="D6" s="9" t="inlineStr">
        <is>
          <t>可以讲“兼容”，不要讲“直接代替正式 CBAM 申报”</t>
        </is>
      </c>
      <c r="E6" s="9" t="inlineStr">
        <is>
          <t>继续跟踪法定范围变化</t>
        </is>
      </c>
      <c r="F6" s="9" t="inlineStr">
        <is>
          <t>必须说明</t>
        </is>
      </c>
    </row>
    <row r="7" ht="27" customHeight="1" s="30">
      <c r="A7" s="9" t="inlineStr">
        <is>
          <t>ASM-004</t>
        </is>
      </c>
      <c r="B7" s="9" t="inlineStr">
        <is>
          <t>Tractus-X/Catena-X 不是自动合规翻译器</t>
        </is>
      </c>
      <c r="C7" s="9" t="inlineStr">
        <is>
          <t>它更像可信交换底座</t>
        </is>
      </c>
      <c r="D7" s="9" t="inlineStr">
        <is>
          <t>HKU 的价值仍然在映射系统，不在传输协议本身</t>
        </is>
      </c>
      <c r="E7" s="9" t="inlineStr">
        <is>
          <t>后续做接口对接</t>
        </is>
      </c>
      <c r="F7" s="9" t="inlineStr">
        <is>
          <t>必须说明</t>
        </is>
      </c>
    </row>
    <row r="8" ht="27" customHeight="1" s="30">
      <c r="A8" s="9" t="inlineStr">
        <is>
          <t>ASM-005</t>
        </is>
      </c>
      <c r="B8" s="9" t="inlineStr">
        <is>
          <t>当前没有接入 NB/TUV 的正式流程</t>
        </is>
      </c>
      <c r="C8" s="9" t="inlineStr">
        <is>
          <t>所以不能说已经通过法定核验</t>
        </is>
      </c>
      <c r="D8" s="9" t="inlineStr">
        <is>
          <t>只能讲影子核验和预备结构</t>
        </is>
      </c>
      <c r="E8" s="9" t="inlineStr">
        <is>
          <t>后续邀请第三方评审</t>
        </is>
      </c>
      <c r="F8" s="9" t="inlineStr">
        <is>
          <t>必须说明</t>
        </is>
      </c>
    </row>
    <row r="9" ht="27" customHeight="1" s="30">
      <c r="A9" s="9" t="inlineStr">
        <is>
          <t>ASM-006</t>
        </is>
      </c>
      <c r="B9" s="9" t="inlineStr">
        <is>
          <t>当前没有真实证据文件仓库与签批流</t>
        </is>
      </c>
      <c r="C9" s="9" t="inlineStr">
        <is>
          <t>证据逻辑已建，但企业治理还没完全落地</t>
        </is>
      </c>
      <c r="D9" s="9" t="inlineStr">
        <is>
          <t>比赛上可以展示治理设计能力</t>
        </is>
      </c>
      <c r="E9" s="9" t="inlineStr">
        <is>
          <t>后续接 DMS/审批流</t>
        </is>
      </c>
      <c r="F9" s="9" t="inlineStr">
        <is>
          <t>高优先</t>
        </is>
      </c>
    </row>
    <row r="10" ht="27" customHeight="1" s="30">
      <c r="A10" s="9" t="inlineStr">
        <is>
          <t>ASM-007</t>
        </is>
      </c>
      <c r="B10" s="9" t="inlineStr">
        <is>
          <t>中国大陆、香港、欧盟三方对数据主权的看法并不一致</t>
        </is>
      </c>
      <c r="C10" s="9" t="inlineStr">
        <is>
          <t>这不是单靠技术就能彻底解决的</t>
        </is>
      </c>
      <c r="D10" s="9" t="inlineStr">
        <is>
          <t>方案里要强调最小披露、分层访问、受控核验</t>
        </is>
      </c>
      <c r="E10" s="9" t="inlineStr">
        <is>
          <t>后续拉法务参与</t>
        </is>
      </c>
      <c r="F10" s="9" t="inlineStr">
        <is>
          <t>高优先</t>
        </is>
      </c>
    </row>
    <row r="11" ht="27" customHeight="1" s="30">
      <c r="A11" s="9" t="inlineStr">
        <is>
          <t>ASM-008</t>
        </is>
      </c>
      <c r="B11" s="9" t="inlineStr">
        <is>
          <t>现有 CATL 公开披露主要还是公司/entity 级</t>
        </is>
      </c>
      <c r="C11" s="9" t="inlineStr">
        <is>
          <t>需要继续拆成型号/工厂/供应商级</t>
        </is>
      </c>
      <c r="D11" s="9" t="inlineStr">
        <is>
          <t>正好说明为什么要做四层映射</t>
        </is>
      </c>
      <c r="E11" s="9" t="inlineStr">
        <is>
          <t>后续补字段绑定关系</t>
        </is>
      </c>
      <c r="F11" s="9" t="inlineStr">
        <is>
          <t>高优先</t>
        </is>
      </c>
    </row>
    <row r="12" ht="40.5" customHeight="1" s="30">
      <c r="A12" s="9" t="inlineStr">
        <is>
          <t>ASM-009</t>
        </is>
      </c>
      <c r="B12" s="9" t="inlineStr">
        <is>
          <t>当前 Excel 只是最容易讨论的载体</t>
        </is>
      </c>
      <c r="C12" s="9" t="inlineStr">
        <is>
          <t>真正企业系统未来更适合做成前端 + API + 权限系统</t>
        </is>
      </c>
      <c r="D12" s="9" t="inlineStr">
        <is>
          <t>Excel 是原型，不是最终产品形态</t>
        </is>
      </c>
      <c r="E12" s="9" t="inlineStr">
        <is>
          <t>后续前端化</t>
        </is>
      </c>
      <c r="F12" s="9" t="inlineStr">
        <is>
          <t>中优先</t>
        </is>
      </c>
    </row>
    <row r="13" ht="40.5" customHeight="1" s="30">
      <c r="A13" s="9" t="inlineStr">
        <is>
          <t>ASM-010</t>
        </is>
      </c>
      <c r="B13" s="9" t="inlineStr">
        <is>
          <t>排放因子如果没有欧盟认可路径，仍可能被采用更保守默认值</t>
        </is>
      </c>
      <c r="C13" s="9" t="inlineStr">
        <is>
          <t>这正是中欧口径转换系统存在的意义</t>
        </is>
      </c>
      <c r="D13" s="9" t="inlineStr">
        <is>
          <t>要把这点讲成项目必要性，而不是缺陷</t>
        </is>
      </c>
      <c r="E13" s="9" t="inlineStr">
        <is>
          <t>做因子校准和对照报告</t>
        </is>
      </c>
      <c r="F13" s="9" t="inlineStr">
        <is>
          <t>高优先</t>
        </is>
      </c>
    </row>
  </sheetData>
  <autoFilter ref="A3:F13"/>
  <mergeCells count="2"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6" customWidth="1" style="30" min="1" max="1"/>
    <col width="18" customWidth="1" style="30" min="2" max="2"/>
    <col width="22" customWidth="1" style="30" min="3" max="4"/>
    <col width="24" customWidth="1" style="30" min="5" max="5"/>
    <col width="20" customWidth="1" style="30" min="6" max="6"/>
    <col width="18" customWidth="1" style="30" min="7" max="7"/>
  </cols>
  <sheetData>
    <row r="1">
      <c r="A1" s="33" t="inlineStr">
        <is>
          <t>责任链与版本：没有 owner 和版本，企业系统就不算真的存在</t>
        </is>
      </c>
      <c r="B1" s="22" t="n"/>
      <c r="C1" s="22" t="n"/>
      <c r="D1" s="22" t="n"/>
      <c r="E1" s="22" t="n"/>
      <c r="F1" s="22" t="n"/>
      <c r="G1" s="23" t="n"/>
    </row>
    <row r="2">
      <c r="A2" s="24" t="inlineStr">
        <is>
          <t>上半部分回答“谁负责什么”，下半部分回答“这份工具现在是什么版本、改了什么”。</t>
        </is>
      </c>
      <c r="B2" s="22" t="n"/>
      <c r="C2" s="22" t="n"/>
      <c r="D2" s="22" t="n"/>
      <c r="E2" s="22" t="n"/>
      <c r="F2" s="22" t="n"/>
      <c r="G2" s="23" t="n"/>
    </row>
    <row r="3">
      <c r="A3" s="8" t="inlineStr">
        <is>
          <t>角色</t>
        </is>
      </c>
      <c r="B3" s="8" t="inlineStr">
        <is>
          <t>主要职责</t>
        </is>
      </c>
      <c r="C3" s="8" t="inlineStr">
        <is>
          <t>重点字段/对象</t>
        </is>
      </c>
      <c r="D3" s="8" t="inlineStr">
        <is>
          <t>审核频率</t>
        </is>
      </c>
      <c r="E3" s="8" t="inlineStr">
        <is>
          <t>建议 owner</t>
        </is>
      </c>
      <c r="F3" s="8" t="inlineStr">
        <is>
          <t>升级前状态</t>
        </is>
      </c>
      <c r="G3" s="8" t="inlineStr">
        <is>
          <t>升级后状态</t>
        </is>
      </c>
    </row>
    <row r="4" ht="27" customHeight="1" s="30">
      <c r="A4" s="9" t="inlineStr">
        <is>
          <t>产品主数据团队</t>
        </is>
      </c>
      <c r="B4" s="9" t="inlineStr">
        <is>
          <t>维护型号、产品分类、对象ID</t>
        </is>
      </c>
      <c r="C4" s="9" t="inlineStr">
        <is>
          <t>manufacturer/product/model/qr object</t>
        </is>
      </c>
      <c r="D4" s="9" t="inlineStr">
        <is>
          <t>每次产品变更</t>
        </is>
      </c>
      <c r="E4" s="9" t="inlineStr">
        <is>
          <t>产品数字化负责人</t>
        </is>
      </c>
      <c r="F4" s="9" t="inlineStr">
        <is>
          <t>只有基础输入字段</t>
        </is>
      </c>
      <c r="G4" s="9" t="inlineStr">
        <is>
          <t>已补到字段字典和前端导出视图</t>
        </is>
      </c>
    </row>
    <row r="5" ht="27" customHeight="1" s="30">
      <c r="A5" s="9" t="inlineStr">
        <is>
          <t>工厂EHS与能源团队</t>
        </is>
      </c>
      <c r="B5" s="9" t="inlineStr">
        <is>
          <t>维护工厂、能耗、工艺排放</t>
        </is>
      </c>
      <c r="C5" s="9" t="inlineStr">
        <is>
          <t>plant/energy/process</t>
        </is>
      </c>
      <c r="D5" s="9" t="inlineStr">
        <is>
          <t>每月/每季</t>
        </is>
      </c>
      <c r="E5" s="9" t="inlineStr">
        <is>
          <t>工厂EHS经理</t>
        </is>
      </c>
      <c r="F5" s="9" t="inlineStr">
        <is>
          <t>只有 demo 值</t>
        </is>
      </c>
      <c r="G5" s="9" t="inlineStr">
        <is>
          <t>已补到证据包和校验规则</t>
        </is>
      </c>
    </row>
    <row r="6" ht="27" customHeight="1" s="30">
      <c r="A6" s="9" t="inlineStr">
        <is>
          <t>LCA与碳核算团队</t>
        </is>
      </c>
      <c r="B6" s="9" t="inlineStr">
        <is>
          <t>维护 PCF 方法、边界、因子</t>
        </is>
      </c>
      <c r="C6" s="9" t="inlineStr">
        <is>
          <t>PCF/运输/回收/因子</t>
        </is>
      </c>
      <c r="D6" s="9" t="inlineStr">
        <is>
          <t>每次规则更新</t>
        </is>
      </c>
      <c r="E6" s="9" t="inlineStr">
        <is>
          <t>LCA负责人</t>
        </is>
      </c>
      <c r="F6" s="9" t="inlineStr">
        <is>
          <t>只有计算过程</t>
        </is>
      </c>
      <c r="G6" s="9" t="inlineStr">
        <is>
          <t>已补到证据台账和假设限制</t>
        </is>
      </c>
    </row>
    <row r="7" ht="40.5" customHeight="1" s="30">
      <c r="A7" s="9" t="inlineStr">
        <is>
          <t>采购与供应链团队</t>
        </is>
      </c>
      <c r="B7" s="9" t="inlineStr">
        <is>
          <t>维护供应商追溯、供应商PCF、再生料</t>
        </is>
      </c>
      <c r="C7" s="9" t="inlineStr">
        <is>
          <t>supplier traceability/PCF/recycled content</t>
        </is>
      </c>
      <c r="D7" s="9" t="inlineStr">
        <is>
          <t>每季</t>
        </is>
      </c>
      <c r="E7" s="9" t="inlineStr">
        <is>
          <t>采购可持续负责人</t>
        </is>
      </c>
      <c r="F7" s="9" t="inlineStr">
        <is>
          <t>只有覆盖率字段</t>
        </is>
      </c>
      <c r="G7" s="9" t="inlineStr">
        <is>
          <t>已补到缺口清单和证据包</t>
        </is>
      </c>
    </row>
    <row r="8" ht="27" customHeight="1" s="30">
      <c r="A8" s="9" t="inlineStr">
        <is>
          <t>法规合规团队</t>
        </is>
      </c>
      <c r="B8" s="9" t="inlineStr">
        <is>
          <t>维护合规状态、第三方核验、对外输出</t>
        </is>
      </c>
      <c r="C8" s="9" t="inlineStr">
        <is>
          <t>status/verification/EU outputs</t>
        </is>
      </c>
      <c r="D8" s="9" t="inlineStr">
        <is>
          <t>每次报送前</t>
        </is>
      </c>
      <c r="E8" s="9" t="inlineStr">
        <is>
          <t>法规合规经理</t>
        </is>
      </c>
      <c r="F8" s="9" t="inlineStr">
        <is>
          <t>只有输出表</t>
        </is>
      </c>
      <c r="G8" s="9" t="inlineStr">
        <is>
          <t>已补到规则、责任链、缺口优先级</t>
        </is>
      </c>
    </row>
    <row r="9" ht="27" customHeight="1" s="30">
      <c r="A9" s="9" t="inlineStr">
        <is>
          <t>法务/IT/权限团队</t>
        </is>
      </c>
      <c r="B9" s="9" t="inlineStr">
        <is>
          <t>维护权限矩阵、数据分类、接口控制</t>
        </is>
      </c>
      <c r="C9" s="9" t="inlineStr">
        <is>
          <t>access/confidentiality</t>
        </is>
      </c>
      <c r="D9" s="9" t="inlineStr">
        <is>
          <t>每次角色变更</t>
        </is>
      </c>
      <c r="E9" s="9" t="inlineStr">
        <is>
          <t>法务或IT治理负责人</t>
        </is>
      </c>
      <c r="F9" s="9" t="inlineStr">
        <is>
          <t>只有一张权限映射表</t>
        </is>
      </c>
      <c r="G9" s="9" t="inlineStr">
        <is>
          <t>已补到权限治理和前端导出层</t>
        </is>
      </c>
    </row>
    <row r="10" ht="27" customHeight="1" s="30">
      <c r="A10" s="9" t="inlineStr">
        <is>
          <t>项目 PMO / HKU 研究组</t>
        </is>
      </c>
      <c r="B10" s="9" t="inlineStr">
        <is>
          <t>维护版本、方法论说明、演示文件</t>
        </is>
      </c>
      <c r="C10" s="9" t="inlineStr">
        <is>
          <t>dictionary/gaps/assumptions/logs</t>
        </is>
      </c>
      <c r="D10" s="9" t="inlineStr">
        <is>
          <t>每次迭代</t>
        </is>
      </c>
      <c r="E10" s="9" t="inlineStr">
        <is>
          <t>项目经理/研究助理</t>
        </is>
      </c>
      <c r="F10" s="9" t="inlineStr">
        <is>
          <t>无系统化版本说明</t>
        </is>
      </c>
      <c r="G10" s="9" t="inlineStr">
        <is>
          <t>已形成版本与日志入口</t>
        </is>
      </c>
    </row>
    <row r="13">
      <c r="A13" s="21" t="inlineStr">
        <is>
          <t>版本记录</t>
        </is>
      </c>
      <c r="B13" s="22" t="n"/>
      <c r="C13" s="22" t="n"/>
      <c r="D13" s="22" t="n"/>
      <c r="E13" s="22" t="n"/>
      <c r="F13" s="22" t="n"/>
      <c r="G13" s="23" t="n"/>
    </row>
    <row r="14">
      <c r="A14" s="8" t="inlineStr">
        <is>
          <t>版本号</t>
        </is>
      </c>
      <c r="B14" s="8" t="inlineStr">
        <is>
          <t>日期</t>
        </is>
      </c>
      <c r="C14" s="8" t="inlineStr">
        <is>
          <t>变更摘要</t>
        </is>
      </c>
      <c r="D14" s="8" t="inlineStr">
        <is>
          <t>为什么改</t>
        </is>
      </c>
      <c r="E14" s="8" t="inlineStr">
        <is>
          <t>主要新增 Sheet/能力</t>
        </is>
      </c>
      <c r="F14" s="8" t="inlineStr">
        <is>
          <t>适合谁用</t>
        </is>
      </c>
      <c r="G14" s="8" t="inlineStr">
        <is>
          <t>备注</t>
        </is>
      </c>
    </row>
    <row r="15" ht="27" customHeight="1" s="30">
      <c r="A15" s="9" t="inlineStr">
        <is>
          <t>v0_demo</t>
        </is>
      </c>
      <c r="B15" s="9" t="inlineStr">
        <is>
          <t>2026-04-07</t>
        </is>
      </c>
      <c r="C15" s="9" t="inlineStr">
        <is>
          <t>初版四层映射 demo</t>
        </is>
      </c>
      <c r="D15" s="9" t="inlineStr">
        <is>
          <t>先把 EU / CBAM 兼容逻辑跑通</t>
        </is>
      </c>
      <c r="E15" s="9" t="inlineStr">
        <is>
          <t>01-11</t>
        </is>
      </c>
      <c r="F15" s="9" t="inlineStr">
        <is>
          <t>比赛讨论</t>
        </is>
      </c>
      <c r="G15" s="9" t="inlineStr">
        <is>
          <t>更像方法 demo</t>
        </is>
      </c>
    </row>
    <row r="16" ht="27" customHeight="1" s="30">
      <c r="A16" s="9" t="inlineStr">
        <is>
          <t>v1_enterprise_prototype</t>
        </is>
      </c>
      <c r="B16" s="9" t="inlineStr">
        <is>
          <t>2026-04-07</t>
        </is>
      </c>
      <c r="C16" s="9" t="inlineStr">
        <is>
          <t>补齐治理、证据、缺口、责任链和前端导出层</t>
        </is>
      </c>
      <c r="D16" s="9" t="inlineStr">
        <is>
          <t>把 demo 往企业原型推进</t>
        </is>
      </c>
      <c r="E16" s="9" t="inlineStr">
        <is>
          <t>00, 12-18</t>
        </is>
      </c>
      <c r="F16" s="9" t="inlineStr">
        <is>
          <t>比赛 + 产品原型 + 团队协作</t>
        </is>
      </c>
      <c r="G16" s="9" t="inlineStr">
        <is>
          <t>仍不是法定申报系统</t>
        </is>
      </c>
    </row>
  </sheetData>
  <mergeCells count="3">
    <mergeCell ref="A13:G13"/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20" customWidth="1" style="30" min="1" max="1"/>
    <col width="16" customWidth="1" style="30" min="2" max="2"/>
    <col width="24" customWidth="1" style="30" min="3" max="3"/>
    <col width="12" customWidth="1" style="30" min="4" max="4"/>
    <col width="18" customWidth="1" style="30" min="5" max="5"/>
    <col width="14" customWidth="1" style="30" min="6" max="8"/>
    <col width="12" customWidth="1" style="30" min="9" max="9"/>
    <col width="18" customWidth="1" style="30" min="10" max="10"/>
    <col width="10" customWidth="1" style="30" min="11" max="11"/>
  </cols>
  <sheetData>
    <row r="1">
      <c r="A1" s="33" t="inlineStr">
        <is>
          <t>前端导出视图：后续做网页、API、JSON 最推荐直接读取这一张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3" t="n"/>
    </row>
    <row r="2">
      <c r="A2" s="24" t="inlineStr">
        <is>
          <t>它把 EU 输出和 CBAM 输出都拉平成一张结构化表，前端同学不用再去跨多张表拼数据。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3" t="n"/>
    </row>
    <row r="3">
      <c r="A3" s="8" t="inlineStr">
        <is>
          <t>场景</t>
        </is>
      </c>
      <c r="B3" s="8" t="inlineStr">
        <is>
          <t>模块</t>
        </is>
      </c>
      <c r="C3" s="8" t="inlineStr">
        <is>
          <t>输出字段</t>
        </is>
      </c>
      <c r="D3" s="8" t="inlineStr">
        <is>
          <t>单位</t>
        </is>
      </c>
      <c r="E3" s="8" t="inlineStr">
        <is>
          <t>当前值</t>
        </is>
      </c>
      <c r="F3" s="8" t="inlineStr">
        <is>
          <t>证据状态</t>
        </is>
      </c>
      <c r="G3" s="8" t="inlineStr">
        <is>
          <t>核验层级</t>
        </is>
      </c>
      <c r="H3" s="8" t="inlineStr">
        <is>
          <t>访问层级</t>
        </is>
      </c>
      <c r="I3" s="8" t="inlineStr">
        <is>
          <t>当前状态</t>
        </is>
      </c>
      <c r="J3" s="8" t="inlineStr">
        <is>
          <t>来源Sheet</t>
        </is>
      </c>
      <c r="K3" s="8" t="inlineStr">
        <is>
          <t>原行号</t>
        </is>
      </c>
    </row>
    <row r="4" ht="27" customHeight="1" s="30">
      <c r="A4" s="9" t="inlineStr">
        <is>
          <t>EU Battery Regulation</t>
        </is>
      </c>
      <c r="B4" s="9">
        <f>'02_欧盟电池法输出'!A4</f>
        <v/>
      </c>
      <c r="C4" s="9">
        <f>'02_欧盟电池法输出'!B4</f>
        <v/>
      </c>
      <c r="D4" s="9">
        <f>'02_欧盟电池法输出'!C4</f>
        <v/>
      </c>
      <c r="E4" s="9">
        <f>'02_欧盟电池法输出'!D4</f>
        <v/>
      </c>
      <c r="F4" s="9">
        <f>'02_欧盟电池法输出'!E4</f>
        <v/>
      </c>
      <c r="G4" s="9">
        <f>'02_欧盟电池法输出'!F4</f>
        <v/>
      </c>
      <c r="H4" s="9">
        <f>'02_欧盟电池法输出'!G4</f>
        <v/>
      </c>
      <c r="I4" s="9">
        <f>'02_欧盟电池法输出'!H4</f>
        <v/>
      </c>
      <c r="J4" s="9" t="inlineStr">
        <is>
          <t>02_欧盟电池法输出</t>
        </is>
      </c>
      <c r="K4" s="9" t="n">
        <v>4</v>
      </c>
    </row>
    <row r="5" ht="27" customHeight="1" s="30">
      <c r="A5" s="9" t="inlineStr">
        <is>
          <t>EU Battery Regulation</t>
        </is>
      </c>
      <c r="B5" s="9">
        <f>'02_欧盟电池法输出'!A5</f>
        <v/>
      </c>
      <c r="C5" s="9">
        <f>'02_欧盟电池法输出'!B5</f>
        <v/>
      </c>
      <c r="D5" s="9">
        <f>'02_欧盟电池法输出'!C5</f>
        <v/>
      </c>
      <c r="E5" s="9">
        <f>'02_欧盟电池法输出'!D5</f>
        <v/>
      </c>
      <c r="F5" s="9">
        <f>'02_欧盟电池法输出'!E5</f>
        <v/>
      </c>
      <c r="G5" s="9">
        <f>'02_欧盟电池法输出'!F5</f>
        <v/>
      </c>
      <c r="H5" s="9">
        <f>'02_欧盟电池法输出'!G5</f>
        <v/>
      </c>
      <c r="I5" s="9">
        <f>'02_欧盟电池法输出'!H5</f>
        <v/>
      </c>
      <c r="J5" s="9" t="inlineStr">
        <is>
          <t>02_欧盟电池法输出</t>
        </is>
      </c>
      <c r="K5" s="9" t="n">
        <v>5</v>
      </c>
    </row>
    <row r="6" ht="27" customHeight="1" s="30">
      <c r="A6" s="9" t="inlineStr">
        <is>
          <t>EU Battery Regulation</t>
        </is>
      </c>
      <c r="B6" s="9">
        <f>'02_欧盟电池法输出'!A6</f>
        <v/>
      </c>
      <c r="C6" s="9">
        <f>'02_欧盟电池法输出'!B6</f>
        <v/>
      </c>
      <c r="D6" s="9">
        <f>'02_欧盟电池法输出'!C6</f>
        <v/>
      </c>
      <c r="E6" s="9">
        <f>'02_欧盟电池法输出'!D6</f>
        <v/>
      </c>
      <c r="F6" s="9">
        <f>'02_欧盟电池法输出'!E6</f>
        <v/>
      </c>
      <c r="G6" s="9">
        <f>'02_欧盟电池法输出'!F6</f>
        <v/>
      </c>
      <c r="H6" s="9">
        <f>'02_欧盟电池法输出'!G6</f>
        <v/>
      </c>
      <c r="I6" s="9">
        <f>'02_欧盟电池法输出'!H6</f>
        <v/>
      </c>
      <c r="J6" s="9" t="inlineStr">
        <is>
          <t>02_欧盟电池法输出</t>
        </is>
      </c>
      <c r="K6" s="9" t="n">
        <v>6</v>
      </c>
    </row>
    <row r="7" ht="27" customHeight="1" s="30">
      <c r="A7" s="9" t="inlineStr">
        <is>
          <t>EU Battery Regulation</t>
        </is>
      </c>
      <c r="B7" s="9">
        <f>'02_欧盟电池法输出'!A7</f>
        <v/>
      </c>
      <c r="C7" s="9">
        <f>'02_欧盟电池法输出'!B7</f>
        <v/>
      </c>
      <c r="D7" s="9">
        <f>'02_欧盟电池法输出'!C7</f>
        <v/>
      </c>
      <c r="E7" s="9">
        <f>'02_欧盟电池法输出'!D7</f>
        <v/>
      </c>
      <c r="F7" s="9">
        <f>'02_欧盟电池法输出'!E7</f>
        <v/>
      </c>
      <c r="G7" s="9">
        <f>'02_欧盟电池法输出'!F7</f>
        <v/>
      </c>
      <c r="H7" s="9">
        <f>'02_欧盟电池法输出'!G7</f>
        <v/>
      </c>
      <c r="I7" s="9">
        <f>'02_欧盟电池法输出'!H7</f>
        <v/>
      </c>
      <c r="J7" s="9" t="inlineStr">
        <is>
          <t>02_欧盟电池法输出</t>
        </is>
      </c>
      <c r="K7" s="9" t="n">
        <v>7</v>
      </c>
    </row>
    <row r="8" ht="27" customHeight="1" s="30">
      <c r="A8" s="9" t="inlineStr">
        <is>
          <t>EU Battery Regulation</t>
        </is>
      </c>
      <c r="B8" s="9">
        <f>'02_欧盟电池法输出'!A8</f>
        <v/>
      </c>
      <c r="C8" s="9">
        <f>'02_欧盟电池法输出'!B8</f>
        <v/>
      </c>
      <c r="D8" s="9">
        <f>'02_欧盟电池法输出'!C8</f>
        <v/>
      </c>
      <c r="E8" s="9">
        <f>'02_欧盟电池法输出'!D8</f>
        <v/>
      </c>
      <c r="F8" s="9">
        <f>'02_欧盟电池法输出'!E8</f>
        <v/>
      </c>
      <c r="G8" s="9">
        <f>'02_欧盟电池法输出'!F8</f>
        <v/>
      </c>
      <c r="H8" s="9">
        <f>'02_欧盟电池法输出'!G8</f>
        <v/>
      </c>
      <c r="I8" s="9">
        <f>'02_欧盟电池法输出'!H8</f>
        <v/>
      </c>
      <c r="J8" s="9" t="inlineStr">
        <is>
          <t>02_欧盟电池法输出</t>
        </is>
      </c>
      <c r="K8" s="9" t="n">
        <v>8</v>
      </c>
    </row>
    <row r="9" ht="27" customHeight="1" s="30">
      <c r="A9" s="9" t="inlineStr">
        <is>
          <t>EU Battery Regulation</t>
        </is>
      </c>
      <c r="B9" s="9">
        <f>'02_欧盟电池法输出'!A9</f>
        <v/>
      </c>
      <c r="C9" s="9">
        <f>'02_欧盟电池法输出'!B9</f>
        <v/>
      </c>
      <c r="D9" s="9">
        <f>'02_欧盟电池法输出'!C9</f>
        <v/>
      </c>
      <c r="E9" s="9">
        <f>'02_欧盟电池法输出'!D9</f>
        <v/>
      </c>
      <c r="F9" s="9">
        <f>'02_欧盟电池法输出'!E9</f>
        <v/>
      </c>
      <c r="G9" s="9">
        <f>'02_欧盟电池法输出'!F9</f>
        <v/>
      </c>
      <c r="H9" s="9">
        <f>'02_欧盟电池法输出'!G9</f>
        <v/>
      </c>
      <c r="I9" s="9">
        <f>'02_欧盟电池法输出'!H9</f>
        <v/>
      </c>
      <c r="J9" s="9" t="inlineStr">
        <is>
          <t>02_欧盟电池法输出</t>
        </is>
      </c>
      <c r="K9" s="9" t="n">
        <v>9</v>
      </c>
    </row>
    <row r="10" ht="27" customHeight="1" s="30">
      <c r="A10" s="9" t="inlineStr">
        <is>
          <t>EU Battery Regulation</t>
        </is>
      </c>
      <c r="B10" s="9">
        <f>'02_欧盟电池法输出'!A10</f>
        <v/>
      </c>
      <c r="C10" s="9">
        <f>'02_欧盟电池法输出'!B10</f>
        <v/>
      </c>
      <c r="D10" s="9">
        <f>'02_欧盟电池法输出'!C10</f>
        <v/>
      </c>
      <c r="E10" s="9">
        <f>'02_欧盟电池法输出'!D10</f>
        <v/>
      </c>
      <c r="F10" s="9">
        <f>'02_欧盟电池法输出'!E10</f>
        <v/>
      </c>
      <c r="G10" s="9">
        <f>'02_欧盟电池法输出'!F10</f>
        <v/>
      </c>
      <c r="H10" s="9">
        <f>'02_欧盟电池法输出'!G10</f>
        <v/>
      </c>
      <c r="I10" s="9">
        <f>'02_欧盟电池法输出'!H10</f>
        <v/>
      </c>
      <c r="J10" s="9" t="inlineStr">
        <is>
          <t>02_欧盟电池法输出</t>
        </is>
      </c>
      <c r="K10" s="9" t="n">
        <v>10</v>
      </c>
    </row>
    <row r="11" ht="27" customHeight="1" s="30">
      <c r="A11" s="9" t="inlineStr">
        <is>
          <t>EU Battery Regulation</t>
        </is>
      </c>
      <c r="B11" s="9">
        <f>'02_欧盟电池法输出'!A11</f>
        <v/>
      </c>
      <c r="C11" s="9">
        <f>'02_欧盟电池法输出'!B11</f>
        <v/>
      </c>
      <c r="D11" s="9">
        <f>'02_欧盟电池法输出'!C11</f>
        <v/>
      </c>
      <c r="E11" s="9">
        <f>'02_欧盟电池法输出'!D11</f>
        <v/>
      </c>
      <c r="F11" s="9">
        <f>'02_欧盟电池法输出'!E11</f>
        <v/>
      </c>
      <c r="G11" s="9">
        <f>'02_欧盟电池法输出'!F11</f>
        <v/>
      </c>
      <c r="H11" s="9">
        <f>'02_欧盟电池法输出'!G11</f>
        <v/>
      </c>
      <c r="I11" s="9">
        <f>'02_欧盟电池法输出'!H11</f>
        <v/>
      </c>
      <c r="J11" s="9" t="inlineStr">
        <is>
          <t>02_欧盟电池法输出</t>
        </is>
      </c>
      <c r="K11" s="9" t="n">
        <v>11</v>
      </c>
    </row>
    <row r="12" ht="27" customHeight="1" s="30">
      <c r="A12" s="9" t="inlineStr">
        <is>
          <t>EU Battery Regulation</t>
        </is>
      </c>
      <c r="B12" s="9">
        <f>'02_欧盟电池法输出'!A12</f>
        <v/>
      </c>
      <c r="C12" s="9">
        <f>'02_欧盟电池法输出'!B12</f>
        <v/>
      </c>
      <c r="D12" s="9">
        <f>'02_欧盟电池法输出'!C12</f>
        <v/>
      </c>
      <c r="E12" s="9">
        <f>'02_欧盟电池法输出'!D12</f>
        <v/>
      </c>
      <c r="F12" s="9">
        <f>'02_欧盟电池法输出'!E12</f>
        <v/>
      </c>
      <c r="G12" s="9">
        <f>'02_欧盟电池法输出'!F12</f>
        <v/>
      </c>
      <c r="H12" s="9">
        <f>'02_欧盟电池法输出'!G12</f>
        <v/>
      </c>
      <c r="I12" s="9">
        <f>'02_欧盟电池法输出'!H12</f>
        <v/>
      </c>
      <c r="J12" s="9" t="inlineStr">
        <is>
          <t>02_欧盟电池法输出</t>
        </is>
      </c>
      <c r="K12" s="9" t="n">
        <v>12</v>
      </c>
    </row>
    <row r="13" ht="27" customHeight="1" s="30">
      <c r="A13" s="9" t="inlineStr">
        <is>
          <t>EU Battery Regulation</t>
        </is>
      </c>
      <c r="B13" s="9">
        <f>'02_欧盟电池法输出'!A13</f>
        <v/>
      </c>
      <c r="C13" s="9">
        <f>'02_欧盟电池法输出'!B13</f>
        <v/>
      </c>
      <c r="D13" s="9">
        <f>'02_欧盟电池法输出'!C13</f>
        <v/>
      </c>
      <c r="E13" s="9">
        <f>'02_欧盟电池法输出'!D13</f>
        <v/>
      </c>
      <c r="F13" s="9">
        <f>'02_欧盟电池法输出'!E13</f>
        <v/>
      </c>
      <c r="G13" s="9">
        <f>'02_欧盟电池法输出'!F13</f>
        <v/>
      </c>
      <c r="H13" s="9">
        <f>'02_欧盟电池法输出'!G13</f>
        <v/>
      </c>
      <c r="I13" s="9">
        <f>'02_欧盟电池法输出'!H13</f>
        <v/>
      </c>
      <c r="J13" s="9" t="inlineStr">
        <is>
          <t>02_欧盟电池法输出</t>
        </is>
      </c>
      <c r="K13" s="9" t="n">
        <v>13</v>
      </c>
    </row>
    <row r="14" ht="27" customHeight="1" s="30">
      <c r="A14" s="9" t="inlineStr">
        <is>
          <t>EU Battery Regulation</t>
        </is>
      </c>
      <c r="B14" s="9">
        <f>'02_欧盟电池法输出'!A14</f>
        <v/>
      </c>
      <c r="C14" s="9">
        <f>'02_欧盟电池法输出'!B14</f>
        <v/>
      </c>
      <c r="D14" s="9">
        <f>'02_欧盟电池法输出'!C14</f>
        <v/>
      </c>
      <c r="E14" s="9">
        <f>'02_欧盟电池法输出'!D14</f>
        <v/>
      </c>
      <c r="F14" s="9">
        <f>'02_欧盟电池法输出'!E14</f>
        <v/>
      </c>
      <c r="G14" s="9">
        <f>'02_欧盟电池法输出'!F14</f>
        <v/>
      </c>
      <c r="H14" s="9">
        <f>'02_欧盟电池法输出'!G14</f>
        <v/>
      </c>
      <c r="I14" s="9">
        <f>'02_欧盟电池法输出'!H14</f>
        <v/>
      </c>
      <c r="J14" s="9" t="inlineStr">
        <is>
          <t>02_欧盟电池法输出</t>
        </is>
      </c>
      <c r="K14" s="9" t="n">
        <v>14</v>
      </c>
    </row>
    <row r="15" ht="27" customHeight="1" s="30">
      <c r="A15" s="9" t="inlineStr">
        <is>
          <t>EU Battery Regulation</t>
        </is>
      </c>
      <c r="B15" s="9">
        <f>'02_欧盟电池法输出'!A15</f>
        <v/>
      </c>
      <c r="C15" s="9">
        <f>'02_欧盟电池法输出'!B15</f>
        <v/>
      </c>
      <c r="D15" s="9">
        <f>'02_欧盟电池法输出'!C15</f>
        <v/>
      </c>
      <c r="E15" s="9">
        <f>'02_欧盟电池法输出'!D15</f>
        <v/>
      </c>
      <c r="F15" s="9">
        <f>'02_欧盟电池法输出'!E15</f>
        <v/>
      </c>
      <c r="G15" s="9">
        <f>'02_欧盟电池法输出'!F15</f>
        <v/>
      </c>
      <c r="H15" s="9">
        <f>'02_欧盟电池法输出'!G15</f>
        <v/>
      </c>
      <c r="I15" s="9">
        <f>'02_欧盟电池法输出'!H15</f>
        <v/>
      </c>
      <c r="J15" s="9" t="inlineStr">
        <is>
          <t>02_欧盟电池法输出</t>
        </is>
      </c>
      <c r="K15" s="9" t="n">
        <v>15</v>
      </c>
    </row>
    <row r="16" ht="27" customHeight="1" s="30">
      <c r="A16" s="9" t="inlineStr">
        <is>
          <t>EU Battery Regulation</t>
        </is>
      </c>
      <c r="B16" s="9">
        <f>'02_欧盟电池法输出'!A16</f>
        <v/>
      </c>
      <c r="C16" s="9">
        <f>'02_欧盟电池法输出'!B16</f>
        <v/>
      </c>
      <c r="D16" s="9">
        <f>'02_欧盟电池法输出'!C16</f>
        <v/>
      </c>
      <c r="E16" s="9">
        <f>'02_欧盟电池法输出'!D16</f>
        <v/>
      </c>
      <c r="F16" s="9">
        <f>'02_欧盟电池法输出'!E16</f>
        <v/>
      </c>
      <c r="G16" s="9">
        <f>'02_欧盟电池法输出'!F16</f>
        <v/>
      </c>
      <c r="H16" s="9">
        <f>'02_欧盟电池法输出'!G16</f>
        <v/>
      </c>
      <c r="I16" s="9">
        <f>'02_欧盟电池法输出'!H16</f>
        <v/>
      </c>
      <c r="J16" s="9" t="inlineStr">
        <is>
          <t>02_欧盟电池法输出</t>
        </is>
      </c>
      <c r="K16" s="9" t="n">
        <v>16</v>
      </c>
    </row>
    <row r="17" ht="27" customHeight="1" s="30">
      <c r="A17" s="9" t="inlineStr">
        <is>
          <t>EU Battery Regulation</t>
        </is>
      </c>
      <c r="B17" s="9">
        <f>'02_欧盟电池法输出'!A17</f>
        <v/>
      </c>
      <c r="C17" s="9">
        <f>'02_欧盟电池法输出'!B17</f>
        <v/>
      </c>
      <c r="D17" s="9">
        <f>'02_欧盟电池法输出'!C17</f>
        <v/>
      </c>
      <c r="E17" s="9">
        <f>'02_欧盟电池法输出'!D17</f>
        <v/>
      </c>
      <c r="F17" s="9">
        <f>'02_欧盟电池法输出'!E17</f>
        <v/>
      </c>
      <c r="G17" s="9">
        <f>'02_欧盟电池法输出'!F17</f>
        <v/>
      </c>
      <c r="H17" s="9">
        <f>'02_欧盟电池法输出'!G17</f>
        <v/>
      </c>
      <c r="I17" s="9">
        <f>'02_欧盟电池法输出'!H17</f>
        <v/>
      </c>
      <c r="J17" s="9" t="inlineStr">
        <is>
          <t>02_欧盟电池法输出</t>
        </is>
      </c>
      <c r="K17" s="9" t="n">
        <v>17</v>
      </c>
    </row>
    <row r="18" ht="27" customHeight="1" s="30">
      <c r="A18" s="9" t="inlineStr">
        <is>
          <t>EU Battery Regulation</t>
        </is>
      </c>
      <c r="B18" s="9">
        <f>'02_欧盟电池法输出'!A18</f>
        <v/>
      </c>
      <c r="C18" s="9">
        <f>'02_欧盟电池法输出'!B18</f>
        <v/>
      </c>
      <c r="D18" s="9">
        <f>'02_欧盟电池法输出'!C18</f>
        <v/>
      </c>
      <c r="E18" s="9">
        <f>'02_欧盟电池法输出'!D18</f>
        <v/>
      </c>
      <c r="F18" s="9">
        <f>'02_欧盟电池法输出'!E18</f>
        <v/>
      </c>
      <c r="G18" s="9">
        <f>'02_欧盟电池法输出'!F18</f>
        <v/>
      </c>
      <c r="H18" s="9">
        <f>'02_欧盟电池法输出'!G18</f>
        <v/>
      </c>
      <c r="I18" s="9">
        <f>'02_欧盟电池法输出'!H18</f>
        <v/>
      </c>
      <c r="J18" s="9" t="inlineStr">
        <is>
          <t>02_欧盟电池法输出</t>
        </is>
      </c>
      <c r="K18" s="9" t="n">
        <v>18</v>
      </c>
    </row>
    <row r="19" ht="27" customHeight="1" s="30">
      <c r="A19" s="9" t="inlineStr">
        <is>
          <t>EU Battery Regulation</t>
        </is>
      </c>
      <c r="B19" s="9">
        <f>'02_欧盟电池法输出'!A19</f>
        <v/>
      </c>
      <c r="C19" s="9">
        <f>'02_欧盟电池法输出'!B19</f>
        <v/>
      </c>
      <c r="D19" s="9">
        <f>'02_欧盟电池法输出'!C19</f>
        <v/>
      </c>
      <c r="E19" s="9">
        <f>'02_欧盟电池法输出'!D19</f>
        <v/>
      </c>
      <c r="F19" s="9">
        <f>'02_欧盟电池法输出'!E19</f>
        <v/>
      </c>
      <c r="G19" s="9">
        <f>'02_欧盟电池法输出'!F19</f>
        <v/>
      </c>
      <c r="H19" s="9">
        <f>'02_欧盟电池法输出'!G19</f>
        <v/>
      </c>
      <c r="I19" s="9">
        <f>'02_欧盟电池法输出'!H19</f>
        <v/>
      </c>
      <c r="J19" s="9" t="inlineStr">
        <is>
          <t>02_欧盟电池法输出</t>
        </is>
      </c>
      <c r="K19" s="9" t="n">
        <v>19</v>
      </c>
    </row>
    <row r="20" ht="27" customHeight="1" s="30">
      <c r="A20" s="9" t="inlineStr">
        <is>
          <t>EU Battery Regulation</t>
        </is>
      </c>
      <c r="B20" s="9">
        <f>'02_欧盟电池法输出'!A20</f>
        <v/>
      </c>
      <c r="C20" s="9">
        <f>'02_欧盟电池法输出'!B20</f>
        <v/>
      </c>
      <c r="D20" s="9">
        <f>'02_欧盟电池法输出'!C20</f>
        <v/>
      </c>
      <c r="E20" s="9">
        <f>'02_欧盟电池法输出'!D20</f>
        <v/>
      </c>
      <c r="F20" s="9">
        <f>'02_欧盟电池法输出'!E20</f>
        <v/>
      </c>
      <c r="G20" s="9">
        <f>'02_欧盟电池法输出'!F20</f>
        <v/>
      </c>
      <c r="H20" s="9">
        <f>'02_欧盟电池法输出'!G20</f>
        <v/>
      </c>
      <c r="I20" s="9">
        <f>'02_欧盟电池法输出'!H20</f>
        <v/>
      </c>
      <c r="J20" s="9" t="inlineStr">
        <is>
          <t>02_欧盟电池法输出</t>
        </is>
      </c>
      <c r="K20" s="9" t="n">
        <v>20</v>
      </c>
    </row>
    <row r="21" ht="27" customHeight="1" s="30">
      <c r="A21" s="9" t="inlineStr">
        <is>
          <t>EU Battery Regulation</t>
        </is>
      </c>
      <c r="B21" s="9">
        <f>'02_欧盟电池法输出'!A21</f>
        <v/>
      </c>
      <c r="C21" s="9">
        <f>'02_欧盟电池法输出'!B21</f>
        <v/>
      </c>
      <c r="D21" s="9">
        <f>'02_欧盟电池法输出'!C21</f>
        <v/>
      </c>
      <c r="E21" s="9">
        <f>'02_欧盟电池法输出'!D21</f>
        <v/>
      </c>
      <c r="F21" s="9">
        <f>'02_欧盟电池法输出'!E21</f>
        <v/>
      </c>
      <c r="G21" s="9">
        <f>'02_欧盟电池法输出'!F21</f>
        <v/>
      </c>
      <c r="H21" s="9">
        <f>'02_欧盟电池法输出'!G21</f>
        <v/>
      </c>
      <c r="I21" s="9">
        <f>'02_欧盟电池法输出'!H21</f>
        <v/>
      </c>
      <c r="J21" s="9" t="inlineStr">
        <is>
          <t>02_欧盟电池法输出</t>
        </is>
      </c>
      <c r="K21" s="9" t="n">
        <v>21</v>
      </c>
    </row>
    <row r="22" ht="27" customHeight="1" s="30">
      <c r="A22" s="9" t="inlineStr">
        <is>
          <t>EU Battery Regulation</t>
        </is>
      </c>
      <c r="B22" s="9">
        <f>'02_欧盟电池法输出'!A22</f>
        <v/>
      </c>
      <c r="C22" s="9">
        <f>'02_欧盟电池法输出'!B22</f>
        <v/>
      </c>
      <c r="D22" s="9">
        <f>'02_欧盟电池法输出'!C22</f>
        <v/>
      </c>
      <c r="E22" s="9">
        <f>'02_欧盟电池法输出'!D22</f>
        <v/>
      </c>
      <c r="F22" s="9">
        <f>'02_欧盟电池法输出'!E22</f>
        <v/>
      </c>
      <c r="G22" s="9">
        <f>'02_欧盟电池法输出'!F22</f>
        <v/>
      </c>
      <c r="H22" s="9">
        <f>'02_欧盟电池法输出'!G22</f>
        <v/>
      </c>
      <c r="I22" s="9">
        <f>'02_欧盟电池法输出'!H22</f>
        <v/>
      </c>
      <c r="J22" s="9" t="inlineStr">
        <is>
          <t>02_欧盟电池法输出</t>
        </is>
      </c>
      <c r="K22" s="9" t="n">
        <v>22</v>
      </c>
    </row>
    <row r="23" ht="27" customHeight="1" s="30">
      <c r="A23" s="9" t="inlineStr">
        <is>
          <t>EU Battery Regulation</t>
        </is>
      </c>
      <c r="B23" s="9">
        <f>'02_欧盟电池法输出'!A23</f>
        <v/>
      </c>
      <c r="C23" s="9">
        <f>'02_欧盟电池法输出'!B23</f>
        <v/>
      </c>
      <c r="D23" s="9">
        <f>'02_欧盟电池法输出'!C23</f>
        <v/>
      </c>
      <c r="E23" s="9">
        <f>'02_欧盟电池法输出'!D23</f>
        <v/>
      </c>
      <c r="F23" s="9">
        <f>'02_欧盟电池法输出'!E23</f>
        <v/>
      </c>
      <c r="G23" s="9">
        <f>'02_欧盟电池法输出'!F23</f>
        <v/>
      </c>
      <c r="H23" s="9">
        <f>'02_欧盟电池法输出'!G23</f>
        <v/>
      </c>
      <c r="I23" s="9">
        <f>'02_欧盟电池法输出'!H23</f>
        <v/>
      </c>
      <c r="J23" s="9" t="inlineStr">
        <is>
          <t>02_欧盟电池法输出</t>
        </is>
      </c>
      <c r="K23" s="9" t="n">
        <v>23</v>
      </c>
    </row>
    <row r="24" ht="27" customHeight="1" s="30">
      <c r="A24" s="9" t="inlineStr">
        <is>
          <t>EU Battery Regulation</t>
        </is>
      </c>
      <c r="B24" s="9">
        <f>'02_欧盟电池法输出'!A24</f>
        <v/>
      </c>
      <c r="C24" s="9">
        <f>'02_欧盟电池法输出'!B24</f>
        <v/>
      </c>
      <c r="D24" s="9">
        <f>'02_欧盟电池法输出'!C24</f>
        <v/>
      </c>
      <c r="E24" s="9">
        <f>'02_欧盟电池法输出'!D24</f>
        <v/>
      </c>
      <c r="F24" s="9">
        <f>'02_欧盟电池法输出'!E24</f>
        <v/>
      </c>
      <c r="G24" s="9">
        <f>'02_欧盟电池法输出'!F24</f>
        <v/>
      </c>
      <c r="H24" s="9">
        <f>'02_欧盟电池法输出'!G24</f>
        <v/>
      </c>
      <c r="I24" s="9">
        <f>'02_欧盟电池法输出'!H24</f>
        <v/>
      </c>
      <c r="J24" s="9" t="inlineStr">
        <is>
          <t>02_欧盟电池法输出</t>
        </is>
      </c>
      <c r="K24" s="9" t="n">
        <v>24</v>
      </c>
    </row>
    <row r="25" ht="27" customHeight="1" s="30">
      <c r="A25" s="9" t="inlineStr">
        <is>
          <t>EU Battery Regulation</t>
        </is>
      </c>
      <c r="B25" s="9">
        <f>'02_欧盟电池法输出'!A25</f>
        <v/>
      </c>
      <c r="C25" s="9">
        <f>'02_欧盟电池法输出'!B25</f>
        <v/>
      </c>
      <c r="D25" s="9">
        <f>'02_欧盟电池法输出'!C25</f>
        <v/>
      </c>
      <c r="E25" s="9">
        <f>'02_欧盟电池法输出'!D25</f>
        <v/>
      </c>
      <c r="F25" s="9">
        <f>'02_欧盟电池法输出'!E25</f>
        <v/>
      </c>
      <c r="G25" s="9">
        <f>'02_欧盟电池法输出'!F25</f>
        <v/>
      </c>
      <c r="H25" s="9">
        <f>'02_欧盟电池法输出'!G25</f>
        <v/>
      </c>
      <c r="I25" s="9">
        <f>'02_欧盟电池法输出'!H25</f>
        <v/>
      </c>
      <c r="J25" s="9" t="inlineStr">
        <is>
          <t>02_欧盟电池法输出</t>
        </is>
      </c>
      <c r="K25" s="9" t="n">
        <v>25</v>
      </c>
    </row>
    <row r="26" ht="27" customHeight="1" s="30">
      <c r="A26" s="9" t="inlineStr">
        <is>
          <t>EU Battery Regulation</t>
        </is>
      </c>
      <c r="B26" s="9">
        <f>'02_欧盟电池法输出'!A26</f>
        <v/>
      </c>
      <c r="C26" s="9">
        <f>'02_欧盟电池法输出'!B26</f>
        <v/>
      </c>
      <c r="D26" s="9">
        <f>'02_欧盟电池法输出'!C26</f>
        <v/>
      </c>
      <c r="E26" s="9">
        <f>'02_欧盟电池法输出'!D26</f>
        <v/>
      </c>
      <c r="F26" s="9">
        <f>'02_欧盟电池法输出'!E26</f>
        <v/>
      </c>
      <c r="G26" s="9">
        <f>'02_欧盟电池法输出'!F26</f>
        <v/>
      </c>
      <c r="H26" s="9">
        <f>'02_欧盟电池法输出'!G26</f>
        <v/>
      </c>
      <c r="I26" s="9">
        <f>'02_欧盟电池法输出'!H26</f>
        <v/>
      </c>
      <c r="J26" s="9" t="inlineStr">
        <is>
          <t>02_欧盟电池法输出</t>
        </is>
      </c>
      <c r="K26" s="9" t="n">
        <v>26</v>
      </c>
    </row>
    <row r="27" ht="27" customHeight="1" s="30">
      <c r="A27" s="9" t="inlineStr">
        <is>
          <t>EU Battery Regulation</t>
        </is>
      </c>
      <c r="B27" s="9">
        <f>'02_欧盟电池法输出'!A27</f>
        <v/>
      </c>
      <c r="C27" s="9">
        <f>'02_欧盟电池法输出'!B27</f>
        <v/>
      </c>
      <c r="D27" s="9">
        <f>'02_欧盟电池法输出'!C27</f>
        <v/>
      </c>
      <c r="E27" s="9">
        <f>'02_欧盟电池法输出'!D27</f>
        <v/>
      </c>
      <c r="F27" s="9">
        <f>'02_欧盟电池法输出'!E27</f>
        <v/>
      </c>
      <c r="G27" s="9">
        <f>'02_欧盟电池法输出'!F27</f>
        <v/>
      </c>
      <c r="H27" s="9">
        <f>'02_欧盟电池法输出'!G27</f>
        <v/>
      </c>
      <c r="I27" s="9">
        <f>'02_欧盟电池法输出'!H27</f>
        <v/>
      </c>
      <c r="J27" s="9" t="inlineStr">
        <is>
          <t>02_欧盟电池法输出</t>
        </is>
      </c>
      <c r="K27" s="9" t="n">
        <v>27</v>
      </c>
    </row>
    <row r="28" ht="27" customHeight="1" s="30">
      <c r="A28" s="9" t="inlineStr">
        <is>
          <t>EU Battery Regulation</t>
        </is>
      </c>
      <c r="B28" s="9">
        <f>'02_欧盟电池法输出'!A28</f>
        <v/>
      </c>
      <c r="C28" s="9">
        <f>'02_欧盟电池法输出'!B28</f>
        <v/>
      </c>
      <c r="D28" s="9">
        <f>'02_欧盟电池法输出'!C28</f>
        <v/>
      </c>
      <c r="E28" s="9">
        <f>'02_欧盟电池法输出'!D28</f>
        <v/>
      </c>
      <c r="F28" s="9">
        <f>'02_欧盟电池法输出'!E28</f>
        <v/>
      </c>
      <c r="G28" s="9">
        <f>'02_欧盟电池法输出'!F28</f>
        <v/>
      </c>
      <c r="H28" s="9">
        <f>'02_欧盟电池法输出'!G28</f>
        <v/>
      </c>
      <c r="I28" s="9">
        <f>'02_欧盟电池法输出'!H28</f>
        <v/>
      </c>
      <c r="J28" s="9" t="inlineStr">
        <is>
          <t>02_欧盟电池法输出</t>
        </is>
      </c>
      <c r="K28" s="9" t="n">
        <v>28</v>
      </c>
    </row>
    <row r="29" ht="27" customHeight="1" s="30">
      <c r="A29" s="9" t="inlineStr">
        <is>
          <t>EU Battery Regulation</t>
        </is>
      </c>
      <c r="B29" s="9">
        <f>'02_欧盟电池法输出'!A29</f>
        <v/>
      </c>
      <c r="C29" s="9">
        <f>'02_欧盟电池法输出'!B29</f>
        <v/>
      </c>
      <c r="D29" s="9">
        <f>'02_欧盟电池法输出'!C29</f>
        <v/>
      </c>
      <c r="E29" s="9">
        <f>'02_欧盟电池法输出'!D29</f>
        <v/>
      </c>
      <c r="F29" s="9">
        <f>'02_欧盟电池法输出'!E29</f>
        <v/>
      </c>
      <c r="G29" s="9">
        <f>'02_欧盟电池法输出'!F29</f>
        <v/>
      </c>
      <c r="H29" s="9">
        <f>'02_欧盟电池法输出'!G29</f>
        <v/>
      </c>
      <c r="I29" s="9">
        <f>'02_欧盟电池法输出'!H29</f>
        <v/>
      </c>
      <c r="J29" s="9" t="inlineStr">
        <is>
          <t>02_欧盟电池法输出</t>
        </is>
      </c>
      <c r="K29" s="9" t="n">
        <v>29</v>
      </c>
    </row>
    <row r="30" ht="27" customHeight="1" s="30">
      <c r="A30" s="9" t="inlineStr">
        <is>
          <t>EU Battery Regulation</t>
        </is>
      </c>
      <c r="B30" s="9">
        <f>'02_欧盟电池法输出'!A30</f>
        <v/>
      </c>
      <c r="C30" s="9">
        <f>'02_欧盟电池法输出'!B30</f>
        <v/>
      </c>
      <c r="D30" s="9">
        <f>'02_欧盟电池法输出'!C30</f>
        <v/>
      </c>
      <c r="E30" s="9">
        <f>'02_欧盟电池法输出'!D30</f>
        <v/>
      </c>
      <c r="F30" s="9">
        <f>'02_欧盟电池法输出'!E30</f>
        <v/>
      </c>
      <c r="G30" s="9">
        <f>'02_欧盟电池法输出'!F30</f>
        <v/>
      </c>
      <c r="H30" s="9">
        <f>'02_欧盟电池法输出'!G30</f>
        <v/>
      </c>
      <c r="I30" s="9">
        <f>'02_欧盟电池法输出'!H30</f>
        <v/>
      </c>
      <c r="J30" s="9" t="inlineStr">
        <is>
          <t>02_欧盟电池法输出</t>
        </is>
      </c>
      <c r="K30" s="9" t="n">
        <v>30</v>
      </c>
    </row>
    <row r="31" ht="27" customHeight="1" s="30">
      <c r="A31" s="9" t="inlineStr">
        <is>
          <t>EU Battery Regulation</t>
        </is>
      </c>
      <c r="B31" s="9">
        <f>'02_欧盟电池法输出'!A31</f>
        <v/>
      </c>
      <c r="C31" s="9">
        <f>'02_欧盟电池法输出'!B31</f>
        <v/>
      </c>
      <c r="D31" s="9">
        <f>'02_欧盟电池法输出'!C31</f>
        <v/>
      </c>
      <c r="E31" s="9">
        <f>'02_欧盟电池法输出'!D31</f>
        <v/>
      </c>
      <c r="F31" s="9">
        <f>'02_欧盟电池法输出'!E31</f>
        <v/>
      </c>
      <c r="G31" s="9">
        <f>'02_欧盟电池法输出'!F31</f>
        <v/>
      </c>
      <c r="H31" s="9">
        <f>'02_欧盟电池法输出'!G31</f>
        <v/>
      </c>
      <c r="I31" s="9">
        <f>'02_欧盟电池法输出'!H31</f>
        <v/>
      </c>
      <c r="J31" s="9" t="inlineStr">
        <is>
          <t>02_欧盟电池法输出</t>
        </is>
      </c>
      <c r="K31" s="9" t="n">
        <v>31</v>
      </c>
    </row>
    <row r="32" ht="27" customHeight="1" s="30">
      <c r="A32" s="9" t="inlineStr">
        <is>
          <t>EU Battery Regulation</t>
        </is>
      </c>
      <c r="B32" s="9">
        <f>'02_欧盟电池法输出'!A32</f>
        <v/>
      </c>
      <c r="C32" s="9">
        <f>'02_欧盟电池法输出'!B32</f>
        <v/>
      </c>
      <c r="D32" s="9">
        <f>'02_欧盟电池法输出'!C32</f>
        <v/>
      </c>
      <c r="E32" s="9">
        <f>'02_欧盟电池法输出'!D32</f>
        <v/>
      </c>
      <c r="F32" s="9">
        <f>'02_欧盟电池法输出'!E32</f>
        <v/>
      </c>
      <c r="G32" s="9">
        <f>'02_欧盟电池法输出'!F32</f>
        <v/>
      </c>
      <c r="H32" s="9">
        <f>'02_欧盟电池法输出'!G32</f>
        <v/>
      </c>
      <c r="I32" s="9">
        <f>'02_欧盟电池法输出'!H32</f>
        <v/>
      </c>
      <c r="J32" s="9" t="inlineStr">
        <is>
          <t>02_欧盟电池法输出</t>
        </is>
      </c>
      <c r="K32" s="9" t="n">
        <v>32</v>
      </c>
    </row>
    <row r="33" ht="27" customHeight="1" s="30">
      <c r="A33" s="9" t="inlineStr">
        <is>
          <t>EU Battery Regulation</t>
        </is>
      </c>
      <c r="B33" s="9">
        <f>'02_欧盟电池法输出'!A33</f>
        <v/>
      </c>
      <c r="C33" s="9">
        <f>'02_欧盟电池法输出'!B33</f>
        <v/>
      </c>
      <c r="D33" s="9">
        <f>'02_欧盟电池法输出'!C33</f>
        <v/>
      </c>
      <c r="E33" s="9">
        <f>'02_欧盟电池法输出'!D33</f>
        <v/>
      </c>
      <c r="F33" s="9">
        <f>'02_欧盟电池法输出'!E33</f>
        <v/>
      </c>
      <c r="G33" s="9">
        <f>'02_欧盟电池法输出'!F33</f>
        <v/>
      </c>
      <c r="H33" s="9">
        <f>'02_欧盟电池法输出'!G33</f>
        <v/>
      </c>
      <c r="I33" s="9">
        <f>'02_欧盟电池法输出'!H33</f>
        <v/>
      </c>
      <c r="J33" s="9" t="inlineStr">
        <is>
          <t>02_欧盟电池法输出</t>
        </is>
      </c>
      <c r="K33" s="9" t="n">
        <v>33</v>
      </c>
    </row>
    <row r="34" ht="27" customHeight="1" s="30">
      <c r="A34" s="9" t="inlineStr">
        <is>
          <t>EU Battery Regulation</t>
        </is>
      </c>
      <c r="B34" s="9">
        <f>'02_欧盟电池法输出'!A34</f>
        <v/>
      </c>
      <c r="C34" s="9">
        <f>'02_欧盟电池法输出'!B34</f>
        <v/>
      </c>
      <c r="D34" s="9">
        <f>'02_欧盟电池法输出'!C34</f>
        <v/>
      </c>
      <c r="E34" s="9">
        <f>'02_欧盟电池法输出'!D34</f>
        <v/>
      </c>
      <c r="F34" s="9">
        <f>'02_欧盟电池法输出'!E34</f>
        <v/>
      </c>
      <c r="G34" s="9">
        <f>'02_欧盟电池法输出'!F34</f>
        <v/>
      </c>
      <c r="H34" s="9">
        <f>'02_欧盟电池法输出'!G34</f>
        <v/>
      </c>
      <c r="I34" s="9">
        <f>'02_欧盟电池法输出'!H34</f>
        <v/>
      </c>
      <c r="J34" s="9" t="inlineStr">
        <is>
          <t>02_欧盟电池法输出</t>
        </is>
      </c>
      <c r="K34" s="9" t="n">
        <v>34</v>
      </c>
    </row>
    <row r="35" ht="27" customHeight="1" s="30">
      <c r="A35" s="9" t="inlineStr">
        <is>
          <t>CBAM Shadow Output</t>
        </is>
      </c>
      <c r="B35" s="9">
        <f>'03_CBAM输出'!A4</f>
        <v/>
      </c>
      <c r="C35" s="9">
        <f>'03_CBAM输出'!B4</f>
        <v/>
      </c>
      <c r="D35" s="9">
        <f>'03_CBAM输出'!C4</f>
        <v/>
      </c>
      <c r="E35" s="9">
        <f>'03_CBAM输出'!D4</f>
        <v/>
      </c>
      <c r="F35" s="9">
        <f>'03_CBAM输出'!E4</f>
        <v/>
      </c>
      <c r="G35" s="9">
        <f>'03_CBAM输出'!F4</f>
        <v/>
      </c>
      <c r="H35" s="9">
        <f>'03_CBAM输出'!G4</f>
        <v/>
      </c>
      <c r="I35" s="9">
        <f>'03_CBAM输出'!H4</f>
        <v/>
      </c>
      <c r="J35" s="9" t="inlineStr">
        <is>
          <t>03_CBAM输出</t>
        </is>
      </c>
      <c r="K35" s="9" t="n">
        <v>4</v>
      </c>
    </row>
    <row r="36">
      <c r="A36" s="9" t="inlineStr">
        <is>
          <t>CBAM Shadow Output</t>
        </is>
      </c>
      <c r="B36" s="9">
        <f>'03_CBAM输出'!A5</f>
        <v/>
      </c>
      <c r="C36" s="9">
        <f>'03_CBAM输出'!B5</f>
        <v/>
      </c>
      <c r="D36" s="9">
        <f>'03_CBAM输出'!C5</f>
        <v/>
      </c>
      <c r="E36" s="9">
        <f>'03_CBAM输出'!D5</f>
        <v/>
      </c>
      <c r="F36" s="9">
        <f>'03_CBAM输出'!E5</f>
        <v/>
      </c>
      <c r="G36" s="9">
        <f>'03_CBAM输出'!F5</f>
        <v/>
      </c>
      <c r="H36" s="9">
        <f>'03_CBAM输出'!G5</f>
        <v/>
      </c>
      <c r="I36" s="9">
        <f>'03_CBAM输出'!H5</f>
        <v/>
      </c>
      <c r="J36" s="9" t="inlineStr">
        <is>
          <t>03_CBAM输出</t>
        </is>
      </c>
      <c r="K36" s="9" t="n">
        <v>5</v>
      </c>
    </row>
    <row r="37">
      <c r="A37" s="9" t="inlineStr">
        <is>
          <t>CBAM Shadow Output</t>
        </is>
      </c>
      <c r="B37" s="9">
        <f>'03_CBAM输出'!A6</f>
        <v/>
      </c>
      <c r="C37" s="9">
        <f>'03_CBAM输出'!B6</f>
        <v/>
      </c>
      <c r="D37" s="9">
        <f>'03_CBAM输出'!C6</f>
        <v/>
      </c>
      <c r="E37" s="9">
        <f>'03_CBAM输出'!D6</f>
        <v/>
      </c>
      <c r="F37" s="9">
        <f>'03_CBAM输出'!E6</f>
        <v/>
      </c>
      <c r="G37" s="9">
        <f>'03_CBAM输出'!F6</f>
        <v/>
      </c>
      <c r="H37" s="9">
        <f>'03_CBAM输出'!G6</f>
        <v/>
      </c>
      <c r="I37" s="9">
        <f>'03_CBAM输出'!H6</f>
        <v/>
      </c>
      <c r="J37" s="9" t="inlineStr">
        <is>
          <t>03_CBAM输出</t>
        </is>
      </c>
      <c r="K37" s="9" t="n">
        <v>6</v>
      </c>
    </row>
    <row r="38" ht="27" customHeight="1" s="30">
      <c r="A38" s="9" t="inlineStr">
        <is>
          <t>CBAM Shadow Output</t>
        </is>
      </c>
      <c r="B38" s="9">
        <f>'03_CBAM输出'!A7</f>
        <v/>
      </c>
      <c r="C38" s="9">
        <f>'03_CBAM输出'!B7</f>
        <v/>
      </c>
      <c r="D38" s="9">
        <f>'03_CBAM输出'!C7</f>
        <v/>
      </c>
      <c r="E38" s="9">
        <f>'03_CBAM输出'!D7</f>
        <v/>
      </c>
      <c r="F38" s="9">
        <f>'03_CBAM输出'!E7</f>
        <v/>
      </c>
      <c r="G38" s="9">
        <f>'03_CBAM输出'!F7</f>
        <v/>
      </c>
      <c r="H38" s="9">
        <f>'03_CBAM输出'!G7</f>
        <v/>
      </c>
      <c r="I38" s="9">
        <f>'03_CBAM输出'!H7</f>
        <v/>
      </c>
      <c r="J38" s="9" t="inlineStr">
        <is>
          <t>03_CBAM输出</t>
        </is>
      </c>
      <c r="K38" s="9" t="n">
        <v>7</v>
      </c>
    </row>
    <row r="39">
      <c r="A39" s="9" t="inlineStr">
        <is>
          <t>CBAM Shadow Output</t>
        </is>
      </c>
      <c r="B39" s="9">
        <f>'03_CBAM输出'!A8</f>
        <v/>
      </c>
      <c r="C39" s="9">
        <f>'03_CBAM输出'!B8</f>
        <v/>
      </c>
      <c r="D39" s="9">
        <f>'03_CBAM输出'!C8</f>
        <v/>
      </c>
      <c r="E39" s="9">
        <f>'03_CBAM输出'!D8</f>
        <v/>
      </c>
      <c r="F39" s="9">
        <f>'03_CBAM输出'!E8</f>
        <v/>
      </c>
      <c r="G39" s="9">
        <f>'03_CBAM输出'!F8</f>
        <v/>
      </c>
      <c r="H39" s="9">
        <f>'03_CBAM输出'!G8</f>
        <v/>
      </c>
      <c r="I39" s="9">
        <f>'03_CBAM输出'!H8</f>
        <v/>
      </c>
      <c r="J39" s="9" t="inlineStr">
        <is>
          <t>03_CBAM输出</t>
        </is>
      </c>
      <c r="K39" s="9" t="n">
        <v>8</v>
      </c>
    </row>
    <row r="40" ht="27" customHeight="1" s="30">
      <c r="A40" s="9" t="inlineStr">
        <is>
          <t>CBAM Shadow Output</t>
        </is>
      </c>
      <c r="B40" s="9">
        <f>'03_CBAM输出'!A9</f>
        <v/>
      </c>
      <c r="C40" s="9">
        <f>'03_CBAM输出'!B9</f>
        <v/>
      </c>
      <c r="D40" s="9">
        <f>'03_CBAM输出'!C9</f>
        <v/>
      </c>
      <c r="E40" s="9">
        <f>'03_CBAM输出'!D9</f>
        <v/>
      </c>
      <c r="F40" s="9">
        <f>'03_CBAM输出'!E9</f>
        <v/>
      </c>
      <c r="G40" s="9">
        <f>'03_CBAM输出'!F9</f>
        <v/>
      </c>
      <c r="H40" s="9">
        <f>'03_CBAM输出'!G9</f>
        <v/>
      </c>
      <c r="I40" s="9">
        <f>'03_CBAM输出'!H9</f>
        <v/>
      </c>
      <c r="J40" s="9" t="inlineStr">
        <is>
          <t>03_CBAM输出</t>
        </is>
      </c>
      <c r="K40" s="9" t="n">
        <v>9</v>
      </c>
    </row>
    <row r="41" ht="27" customHeight="1" s="30">
      <c r="A41" s="9" t="inlineStr">
        <is>
          <t>CBAM Shadow Output</t>
        </is>
      </c>
      <c r="B41" s="9">
        <f>'03_CBAM输出'!A10</f>
        <v/>
      </c>
      <c r="C41" s="9">
        <f>'03_CBAM输出'!B10</f>
        <v/>
      </c>
      <c r="D41" s="9">
        <f>'03_CBAM输出'!C10</f>
        <v/>
      </c>
      <c r="E41" s="9">
        <f>'03_CBAM输出'!D10</f>
        <v/>
      </c>
      <c r="F41" s="9">
        <f>'03_CBAM输出'!E10</f>
        <v/>
      </c>
      <c r="G41" s="9">
        <f>'03_CBAM输出'!F10</f>
        <v/>
      </c>
      <c r="H41" s="9">
        <f>'03_CBAM输出'!G10</f>
        <v/>
      </c>
      <c r="I41" s="9">
        <f>'03_CBAM输出'!H10</f>
        <v/>
      </c>
      <c r="J41" s="9" t="inlineStr">
        <is>
          <t>03_CBAM输出</t>
        </is>
      </c>
      <c r="K41" s="9" t="n">
        <v>10</v>
      </c>
    </row>
    <row r="42" ht="27" customHeight="1" s="30">
      <c r="A42" s="9" t="inlineStr">
        <is>
          <t>CBAM Shadow Output</t>
        </is>
      </c>
      <c r="B42" s="9">
        <f>'03_CBAM输出'!A11</f>
        <v/>
      </c>
      <c r="C42" s="9">
        <f>'03_CBAM输出'!B11</f>
        <v/>
      </c>
      <c r="D42" s="9">
        <f>'03_CBAM输出'!C11</f>
        <v/>
      </c>
      <c r="E42" s="9">
        <f>'03_CBAM输出'!D11</f>
        <v/>
      </c>
      <c r="F42" s="9">
        <f>'03_CBAM输出'!E11</f>
        <v/>
      </c>
      <c r="G42" s="9">
        <f>'03_CBAM输出'!F11</f>
        <v/>
      </c>
      <c r="H42" s="9">
        <f>'03_CBAM输出'!G11</f>
        <v/>
      </c>
      <c r="I42" s="9">
        <f>'03_CBAM输出'!H11</f>
        <v/>
      </c>
      <c r="J42" s="9" t="inlineStr">
        <is>
          <t>03_CBAM输出</t>
        </is>
      </c>
      <c r="K42" s="9" t="n">
        <v>11</v>
      </c>
    </row>
    <row r="43" ht="27" customHeight="1" s="30">
      <c r="A43" s="9" t="inlineStr">
        <is>
          <t>CBAM Shadow Output</t>
        </is>
      </c>
      <c r="B43" s="9">
        <f>'03_CBAM输出'!A12</f>
        <v/>
      </c>
      <c r="C43" s="9">
        <f>'03_CBAM输出'!B12</f>
        <v/>
      </c>
      <c r="D43" s="9">
        <f>'03_CBAM输出'!C12</f>
        <v/>
      </c>
      <c r="E43" s="9">
        <f>'03_CBAM输出'!D12</f>
        <v/>
      </c>
      <c r="F43" s="9">
        <f>'03_CBAM输出'!E12</f>
        <v/>
      </c>
      <c r="G43" s="9">
        <f>'03_CBAM输出'!F12</f>
        <v/>
      </c>
      <c r="H43" s="9">
        <f>'03_CBAM输出'!G12</f>
        <v/>
      </c>
      <c r="I43" s="9">
        <f>'03_CBAM输出'!H12</f>
        <v/>
      </c>
      <c r="J43" s="9" t="inlineStr">
        <is>
          <t>03_CBAM输出</t>
        </is>
      </c>
      <c r="K43" s="9" t="n">
        <v>12</v>
      </c>
    </row>
    <row r="44" ht="27" customHeight="1" s="30">
      <c r="A44" s="9" t="inlineStr">
        <is>
          <t>CBAM Shadow Output</t>
        </is>
      </c>
      <c r="B44" s="9">
        <f>'03_CBAM输出'!A13</f>
        <v/>
      </c>
      <c r="C44" s="9">
        <f>'03_CBAM输出'!B13</f>
        <v/>
      </c>
      <c r="D44" s="9">
        <f>'03_CBAM输出'!C13</f>
        <v/>
      </c>
      <c r="E44" s="9">
        <f>'03_CBAM输出'!D13</f>
        <v/>
      </c>
      <c r="F44" s="9">
        <f>'03_CBAM输出'!E13</f>
        <v/>
      </c>
      <c r="G44" s="9">
        <f>'03_CBAM输出'!F13</f>
        <v/>
      </c>
      <c r="H44" s="9">
        <f>'03_CBAM输出'!G13</f>
        <v/>
      </c>
      <c r="I44" s="9">
        <f>'03_CBAM输出'!H13</f>
        <v/>
      </c>
      <c r="J44" s="9" t="inlineStr">
        <is>
          <t>03_CBAM输出</t>
        </is>
      </c>
      <c r="K44" s="9" t="n">
        <v>13</v>
      </c>
    </row>
    <row r="45">
      <c r="A45" s="9" t="inlineStr">
        <is>
          <t>CBAM Shadow Output</t>
        </is>
      </c>
      <c r="B45" s="9">
        <f>'03_CBAM输出'!A14</f>
        <v/>
      </c>
      <c r="C45" s="9">
        <f>'03_CBAM输出'!B14</f>
        <v/>
      </c>
      <c r="D45" s="9">
        <f>'03_CBAM输出'!C14</f>
        <v/>
      </c>
      <c r="E45" s="9">
        <f>'03_CBAM输出'!D14</f>
        <v/>
      </c>
      <c r="F45" s="9">
        <f>'03_CBAM输出'!E14</f>
        <v/>
      </c>
      <c r="G45" s="9">
        <f>'03_CBAM输出'!F14</f>
        <v/>
      </c>
      <c r="H45" s="9">
        <f>'03_CBAM输出'!G14</f>
        <v/>
      </c>
      <c r="I45" s="9">
        <f>'03_CBAM输出'!H14</f>
        <v/>
      </c>
      <c r="J45" s="9" t="inlineStr">
        <is>
          <t>03_CBAM输出</t>
        </is>
      </c>
      <c r="K45" s="9" t="n">
        <v>14</v>
      </c>
    </row>
    <row r="46" ht="27" customHeight="1" s="30">
      <c r="A46" s="9" t="inlineStr">
        <is>
          <t>CBAM Shadow Output</t>
        </is>
      </c>
      <c r="B46" s="9">
        <f>'03_CBAM输出'!A15</f>
        <v/>
      </c>
      <c r="C46" s="9">
        <f>'03_CBAM输出'!B15</f>
        <v/>
      </c>
      <c r="D46" s="9">
        <f>'03_CBAM输出'!C15</f>
        <v/>
      </c>
      <c r="E46" s="9">
        <f>'03_CBAM输出'!D15</f>
        <v/>
      </c>
      <c r="F46" s="9">
        <f>'03_CBAM输出'!E15</f>
        <v/>
      </c>
      <c r="G46" s="9">
        <f>'03_CBAM输出'!F15</f>
        <v/>
      </c>
      <c r="H46" s="9">
        <f>'03_CBAM输出'!G15</f>
        <v/>
      </c>
      <c r="I46" s="9">
        <f>'03_CBAM输出'!H15</f>
        <v/>
      </c>
      <c r="J46" s="9" t="inlineStr">
        <is>
          <t>03_CBAM输出</t>
        </is>
      </c>
      <c r="K46" s="9" t="n">
        <v>15</v>
      </c>
    </row>
    <row r="47" ht="27" customHeight="1" s="30">
      <c r="A47" s="9" t="inlineStr">
        <is>
          <t>CBAM Shadow Output</t>
        </is>
      </c>
      <c r="B47" s="9">
        <f>'03_CBAM输出'!A16</f>
        <v/>
      </c>
      <c r="C47" s="9">
        <f>'03_CBAM输出'!B16</f>
        <v/>
      </c>
      <c r="D47" s="9">
        <f>'03_CBAM输出'!C16</f>
        <v/>
      </c>
      <c r="E47" s="9">
        <f>'03_CBAM输出'!D16</f>
        <v/>
      </c>
      <c r="F47" s="9">
        <f>'03_CBAM输出'!E16</f>
        <v/>
      </c>
      <c r="G47" s="9">
        <f>'03_CBAM输出'!F16</f>
        <v/>
      </c>
      <c r="H47" s="9">
        <f>'03_CBAM输出'!G16</f>
        <v/>
      </c>
      <c r="I47" s="9">
        <f>'03_CBAM输出'!H16</f>
        <v/>
      </c>
      <c r="J47" s="9" t="inlineStr">
        <is>
          <t>03_CBAM输出</t>
        </is>
      </c>
      <c r="K47" s="9" t="n">
        <v>16</v>
      </c>
    </row>
    <row r="48" ht="27" customHeight="1" s="30">
      <c r="A48" s="9" t="inlineStr">
        <is>
          <t>CBAM Shadow Output</t>
        </is>
      </c>
      <c r="B48" s="9">
        <f>'03_CBAM输出'!A17</f>
        <v/>
      </c>
      <c r="C48" s="9">
        <f>'03_CBAM输出'!B17</f>
        <v/>
      </c>
      <c r="D48" s="9">
        <f>'03_CBAM输出'!C17</f>
        <v/>
      </c>
      <c r="E48" s="9">
        <f>'03_CBAM输出'!D17</f>
        <v/>
      </c>
      <c r="F48" s="9">
        <f>'03_CBAM输出'!E17</f>
        <v/>
      </c>
      <c r="G48" s="9">
        <f>'03_CBAM输出'!F17</f>
        <v/>
      </c>
      <c r="H48" s="9">
        <f>'03_CBAM输出'!G17</f>
        <v/>
      </c>
      <c r="I48" s="9">
        <f>'03_CBAM输出'!H17</f>
        <v/>
      </c>
      <c r="J48" s="9" t="inlineStr">
        <is>
          <t>03_CBAM输出</t>
        </is>
      </c>
      <c r="K48" s="9" t="n">
        <v>17</v>
      </c>
    </row>
    <row r="49" ht="27" customHeight="1" s="30">
      <c r="A49" s="9" t="inlineStr">
        <is>
          <t>CBAM Shadow Output</t>
        </is>
      </c>
      <c r="B49" s="9">
        <f>'03_CBAM输出'!A18</f>
        <v/>
      </c>
      <c r="C49" s="9">
        <f>'03_CBAM输出'!B18</f>
        <v/>
      </c>
      <c r="D49" s="9">
        <f>'03_CBAM输出'!C18</f>
        <v/>
      </c>
      <c r="E49" s="9">
        <f>'03_CBAM输出'!D18</f>
        <v/>
      </c>
      <c r="F49" s="9">
        <f>'03_CBAM输出'!E18</f>
        <v/>
      </c>
      <c r="G49" s="9">
        <f>'03_CBAM输出'!F18</f>
        <v/>
      </c>
      <c r="H49" s="9">
        <f>'03_CBAM输出'!G18</f>
        <v/>
      </c>
      <c r="I49" s="9">
        <f>'03_CBAM输出'!H18</f>
        <v/>
      </c>
      <c r="J49" s="9" t="inlineStr">
        <is>
          <t>03_CBAM输出</t>
        </is>
      </c>
      <c r="K49" s="9" t="n">
        <v>18</v>
      </c>
    </row>
    <row r="50" ht="27" customHeight="1" s="30">
      <c r="A50" s="9" t="inlineStr">
        <is>
          <t>CBAM Shadow Output</t>
        </is>
      </c>
      <c r="B50" s="9">
        <f>'03_CBAM输出'!A19</f>
        <v/>
      </c>
      <c r="C50" s="9">
        <f>'03_CBAM输出'!B19</f>
        <v/>
      </c>
      <c r="D50" s="9">
        <f>'03_CBAM输出'!C19</f>
        <v/>
      </c>
      <c r="E50" s="9">
        <f>'03_CBAM输出'!D19</f>
        <v/>
      </c>
      <c r="F50" s="9">
        <f>'03_CBAM输出'!E19</f>
        <v/>
      </c>
      <c r="G50" s="9">
        <f>'03_CBAM输出'!F19</f>
        <v/>
      </c>
      <c r="H50" s="9">
        <f>'03_CBAM输出'!G19</f>
        <v/>
      </c>
      <c r="I50" s="9">
        <f>'03_CBAM输出'!H19</f>
        <v/>
      </c>
      <c r="J50" s="9" t="inlineStr">
        <is>
          <t>03_CBAM输出</t>
        </is>
      </c>
      <c r="K50" s="9" t="n">
        <v>19</v>
      </c>
    </row>
    <row r="51">
      <c r="A51" s="9" t="inlineStr">
        <is>
          <t>CBAM Shadow Output</t>
        </is>
      </c>
      <c r="B51" s="9">
        <f>'03_CBAM输出'!A20</f>
        <v/>
      </c>
      <c r="C51" s="9">
        <f>'03_CBAM输出'!B20</f>
        <v/>
      </c>
      <c r="D51" s="9">
        <f>'03_CBAM输出'!C20</f>
        <v/>
      </c>
      <c r="E51" s="9">
        <f>'03_CBAM输出'!D20</f>
        <v/>
      </c>
      <c r="F51" s="9">
        <f>'03_CBAM输出'!E20</f>
        <v/>
      </c>
      <c r="G51" s="9">
        <f>'03_CBAM输出'!F20</f>
        <v/>
      </c>
      <c r="H51" s="9">
        <f>'03_CBAM输出'!G20</f>
        <v/>
      </c>
      <c r="I51" s="9">
        <f>'03_CBAM输出'!H20</f>
        <v/>
      </c>
      <c r="J51" s="9" t="inlineStr">
        <is>
          <t>03_CBAM输出</t>
        </is>
      </c>
      <c r="K51" s="9" t="n">
        <v>20</v>
      </c>
    </row>
    <row r="52" ht="27" customHeight="1" s="30">
      <c r="A52" s="9" t="inlineStr">
        <is>
          <t>CBAM Shadow Output</t>
        </is>
      </c>
      <c r="B52" s="9">
        <f>'03_CBAM输出'!A21</f>
        <v/>
      </c>
      <c r="C52" s="9">
        <f>'03_CBAM输出'!B21</f>
        <v/>
      </c>
      <c r="D52" s="9">
        <f>'03_CBAM输出'!C21</f>
        <v/>
      </c>
      <c r="E52" s="9">
        <f>'03_CBAM输出'!D21</f>
        <v/>
      </c>
      <c r="F52" s="9">
        <f>'03_CBAM输出'!E21</f>
        <v/>
      </c>
      <c r="G52" s="9">
        <f>'03_CBAM输出'!F21</f>
        <v/>
      </c>
      <c r="H52" s="9">
        <f>'03_CBAM输出'!G21</f>
        <v/>
      </c>
      <c r="I52" s="9">
        <f>'03_CBAM输出'!H21</f>
        <v/>
      </c>
      <c r="J52" s="9" t="inlineStr">
        <is>
          <t>03_CBAM输出</t>
        </is>
      </c>
      <c r="K52" s="9" t="n">
        <v>21</v>
      </c>
    </row>
    <row r="53" ht="27" customHeight="1" s="30">
      <c r="A53" s="9" t="inlineStr">
        <is>
          <t>CBAM Shadow Output</t>
        </is>
      </c>
      <c r="B53" s="9">
        <f>'03_CBAM输出'!A22</f>
        <v/>
      </c>
      <c r="C53" s="9">
        <f>'03_CBAM输出'!B22</f>
        <v/>
      </c>
      <c r="D53" s="9">
        <f>'03_CBAM输出'!C22</f>
        <v/>
      </c>
      <c r="E53" s="9">
        <f>'03_CBAM输出'!D22</f>
        <v/>
      </c>
      <c r="F53" s="9">
        <f>'03_CBAM输出'!E22</f>
        <v/>
      </c>
      <c r="G53" s="9">
        <f>'03_CBAM输出'!F22</f>
        <v/>
      </c>
      <c r="H53" s="9">
        <f>'03_CBAM输出'!G22</f>
        <v/>
      </c>
      <c r="I53" s="9">
        <f>'03_CBAM输出'!H22</f>
        <v/>
      </c>
      <c r="J53" s="9" t="inlineStr">
        <is>
          <t>03_CBAM输出</t>
        </is>
      </c>
      <c r="K53" s="9" t="n">
        <v>22</v>
      </c>
    </row>
    <row r="54" ht="27" customHeight="1" s="30">
      <c r="A54" s="9" t="inlineStr">
        <is>
          <t>CBAM Shadow Output</t>
        </is>
      </c>
      <c r="B54" s="9">
        <f>'03_CBAM输出'!A23</f>
        <v/>
      </c>
      <c r="C54" s="9">
        <f>'03_CBAM输出'!B23</f>
        <v/>
      </c>
      <c r="D54" s="9">
        <f>'03_CBAM输出'!C23</f>
        <v/>
      </c>
      <c r="E54" s="9">
        <f>'03_CBAM输出'!D23</f>
        <v/>
      </c>
      <c r="F54" s="9">
        <f>'03_CBAM输出'!E23</f>
        <v/>
      </c>
      <c r="G54" s="9">
        <f>'03_CBAM输出'!F23</f>
        <v/>
      </c>
      <c r="H54" s="9">
        <f>'03_CBAM输出'!G23</f>
        <v/>
      </c>
      <c r="I54" s="9">
        <f>'03_CBAM输出'!H23</f>
        <v/>
      </c>
      <c r="J54" s="9" t="inlineStr">
        <is>
          <t>03_CBAM输出</t>
        </is>
      </c>
      <c r="K54" s="9" t="n">
        <v>23</v>
      </c>
    </row>
  </sheetData>
  <autoFilter ref="A3:K54"/>
  <mergeCells count="2">
    <mergeCell ref="A2:K2"/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tabSelected="1" workbookViewId="0">
      <pane ySplit="4" topLeftCell="A5" activePane="bottomLeft" state="frozen"/>
      <selection pane="bottomLeft" activeCell="A1" sqref="A1:H1"/>
    </sheetView>
  </sheetViews>
  <sheetFormatPr baseColWidth="8" defaultRowHeight="13.5"/>
  <cols>
    <col width="16" customWidth="1" style="30" min="1" max="1"/>
    <col width="22" customWidth="1" style="30" min="2" max="2"/>
    <col width="18" customWidth="1" style="30" min="3" max="3"/>
    <col width="26" customWidth="1" style="30" min="4" max="4"/>
    <col width="16" customWidth="1" style="30" min="5" max="5"/>
    <col width="22" customWidth="1" style="30" min="6" max="6"/>
    <col width="18" customWidth="1" style="30" min="7" max="7"/>
    <col width="26" customWidth="1" style="30" min="8" max="8"/>
  </cols>
  <sheetData>
    <row r="1">
      <c r="A1" s="25" t="inlineStr">
        <is>
          <t>CATL 四层映射引擎 Enterprise Prototype 总览</t>
        </is>
      </c>
      <c r="B1" s="22" t="n"/>
      <c r="C1" s="22" t="n"/>
      <c r="D1" s="22" t="n"/>
      <c r="E1" s="22" t="n"/>
      <c r="F1" s="22" t="n"/>
      <c r="G1" s="22" t="n"/>
      <c r="H1" s="23" t="n"/>
    </row>
    <row r="2">
      <c r="A2" s="24" t="inlineStr">
        <is>
          <t>这不是最终法定申报系统，而是一套更接近企业可落地形态的合规原型：一个入口录入，自动生成 EU Battery Regulation 输出、CBAM 影子输出、证据链和治理链。</t>
        </is>
      </c>
      <c r="B2" s="22" t="n"/>
      <c r="C2" s="22" t="n"/>
      <c r="D2" s="22" t="n"/>
      <c r="E2" s="22" t="n"/>
      <c r="F2" s="22" t="n"/>
      <c r="G2" s="22" t="n"/>
      <c r="H2" s="23" t="n"/>
    </row>
    <row r="4">
      <c r="A4" s="8" t="inlineStr">
        <is>
          <t>模块</t>
        </is>
      </c>
      <c r="B4" s="8" t="inlineStr">
        <is>
          <t>指标</t>
        </is>
      </c>
      <c r="C4" s="8" t="inlineStr">
        <is>
          <t>当前值</t>
        </is>
      </c>
      <c r="D4" s="8" t="inlineStr">
        <is>
          <t>解释</t>
        </is>
      </c>
      <c r="E4" s="8" t="inlineStr">
        <is>
          <t>模块</t>
        </is>
      </c>
      <c r="F4" s="8" t="inlineStr">
        <is>
          <t>指标</t>
        </is>
      </c>
      <c r="G4" s="8" t="inlineStr">
        <is>
          <t>当前值</t>
        </is>
      </c>
      <c r="H4" s="8" t="inlineStr">
        <is>
          <t>解释</t>
        </is>
      </c>
    </row>
    <row r="5">
      <c r="A5" s="9" t="inlineStr">
        <is>
          <t>输入层</t>
        </is>
      </c>
      <c r="B5" s="9" t="inlineStr">
        <is>
          <t>手动输入字段总数</t>
        </is>
      </c>
      <c r="C5" s="10">
        <f>COUNTA('01_手动输入'!$B$4:$B$200)</f>
        <v/>
      </c>
      <c r="D5" s="9" t="inlineStr">
        <is>
          <t>目前共维护多少个输入字段</t>
        </is>
      </c>
      <c r="E5" s="9" t="inlineStr">
        <is>
          <t>治理层</t>
        </is>
      </c>
      <c r="F5" s="9" t="inlineStr">
        <is>
          <t>高优先级缺口数</t>
        </is>
      </c>
      <c r="G5" s="10">
        <f>COUNTIF('15_字段缺口与优先级'!$F$4:$F$200,"P1")</f>
        <v/>
      </c>
      <c r="H5" s="9" t="inlineStr">
        <is>
          <t>最应该优先补的系统缺口</t>
        </is>
      </c>
    </row>
    <row r="6">
      <c r="A6" s="9" t="inlineStr">
        <is>
          <t>输入层</t>
        </is>
      </c>
      <c r="B6" s="9" t="inlineStr">
        <is>
          <t>已填输入字段数</t>
        </is>
      </c>
      <c r="C6" s="10">
        <f>COUNTIF('01_手动输入'!$G$4:$G$200,"&lt;&gt;")</f>
        <v/>
      </c>
      <c r="D6" s="9" t="inlineStr">
        <is>
          <t>实际输入值列中已填的字段数</t>
        </is>
      </c>
      <c r="E6" s="9" t="inlineStr">
        <is>
          <t>治理层</t>
        </is>
      </c>
      <c r="F6" s="9" t="inlineStr">
        <is>
          <t>证据包总数</t>
        </is>
      </c>
      <c r="G6" s="10">
        <f>COUNTA('13_证据台账'!$A$4:$A$200)</f>
        <v/>
      </c>
      <c r="H6" s="9" t="inlineStr">
        <is>
          <t>关键证据包数量</t>
        </is>
      </c>
    </row>
    <row r="7" ht="27" customHeight="1" s="30">
      <c r="A7" s="9" t="inlineStr">
        <is>
          <t>输入层</t>
        </is>
      </c>
      <c r="B7" s="9" t="inlineStr">
        <is>
          <t>输入完成率</t>
        </is>
      </c>
      <c r="C7" s="10">
        <f>IFERROR(C6/C5,0)</f>
        <v/>
      </c>
      <c r="D7" s="9" t="inlineStr">
        <is>
          <t>用于快速判断 demo 是否跑得起来</t>
        </is>
      </c>
      <c r="E7" s="9" t="inlineStr">
        <is>
          <t>治理层</t>
        </is>
      </c>
      <c r="F7" s="9" t="inlineStr">
        <is>
          <t>证据包已具备</t>
        </is>
      </c>
      <c r="G7" s="10">
        <f>COUNTIF('13_证据台账'!$E$4:$E$200,"证据齐备")</f>
        <v/>
      </c>
      <c r="H7" s="9" t="inlineStr">
        <is>
          <t>已经达到可支撑输出的证据包</t>
        </is>
      </c>
    </row>
    <row r="8">
      <c r="A8" s="9" t="inlineStr">
        <is>
          <t>EU 输出</t>
        </is>
      </c>
      <c r="B8" s="9" t="inlineStr">
        <is>
          <t>EU 输出字段数</t>
        </is>
      </c>
      <c r="C8" s="10">
        <f>COUNTA('02_欧盟电池法输出'!$B$4:$B$200)</f>
        <v/>
      </c>
      <c r="D8" s="9" t="inlineStr">
        <is>
          <t>欧盟电池法输出字段条数</t>
        </is>
      </c>
      <c r="E8" s="9" t="inlineStr">
        <is>
          <t>治理层</t>
        </is>
      </c>
      <c r="F8" s="9" t="inlineStr">
        <is>
          <t>校验规则数</t>
        </is>
      </c>
      <c r="G8" s="10">
        <f>COUNTA('14_校验规则'!$A$4:$A$200)</f>
        <v/>
      </c>
      <c r="H8" s="9" t="inlineStr">
        <is>
          <t>已写进系统的规则条数</t>
        </is>
      </c>
    </row>
    <row r="9">
      <c r="A9" s="9" t="inlineStr">
        <is>
          <t>EU 输出</t>
        </is>
      </c>
      <c r="B9" s="9" t="inlineStr">
        <is>
          <t>EU 已生成条数</t>
        </is>
      </c>
      <c r="C9" s="10">
        <f>COUNTIF('02_欧盟电池法输出'!$H$4:$H$200,"已生成")</f>
        <v/>
      </c>
      <c r="D9" s="9" t="inlineStr">
        <is>
          <t>公式已生成的条数</t>
        </is>
      </c>
      <c r="E9" s="9" t="inlineStr">
        <is>
          <t>治理层</t>
        </is>
      </c>
      <c r="F9" s="9" t="inlineStr">
        <is>
          <t>校验通过数</t>
        </is>
      </c>
      <c r="G9" s="10">
        <f>COUNTIF('14_校验规则'!$G$4:$G$200,"通过")</f>
        <v/>
      </c>
      <c r="H9" s="9" t="inlineStr">
        <is>
          <t>当前 demo 值通过的规则数</t>
        </is>
      </c>
    </row>
    <row r="10" ht="27" customHeight="1" s="30">
      <c r="A10" s="9" t="inlineStr">
        <is>
          <t>CBAM 输出</t>
        </is>
      </c>
      <c r="B10" s="9" t="inlineStr">
        <is>
          <t>CBAM 输出字段数</t>
        </is>
      </c>
      <c r="C10" s="10">
        <f>COUNTA('03_CBAM输出'!$B$4:$B$200)</f>
        <v/>
      </c>
      <c r="D10" s="9" t="inlineStr">
        <is>
          <t>CBAM 影子输出字段条数</t>
        </is>
      </c>
      <c r="E10" s="9" t="inlineStr">
        <is>
          <t>前端层</t>
        </is>
      </c>
      <c r="F10" s="9" t="inlineStr">
        <is>
          <t>前端导出记录数</t>
        </is>
      </c>
      <c r="G10" s="10">
        <f>COUNTA('18_前端导出视图'!$A$4:$A$400)</f>
        <v/>
      </c>
      <c r="H10" s="9" t="inlineStr">
        <is>
          <t>后续前端/API 最适合直接读取的记录数</t>
        </is>
      </c>
    </row>
    <row r="11" ht="40.5" customHeight="1" s="30">
      <c r="A11" s="9" t="inlineStr">
        <is>
          <t>CBAM 输出</t>
        </is>
      </c>
      <c r="B11" s="9" t="inlineStr">
        <is>
          <t>CBAM 已生成条数</t>
        </is>
      </c>
      <c r="C11" s="10">
        <f>COUNTIF('03_CBAM输出'!$H$4:$H$200,"已生成")</f>
        <v/>
      </c>
      <c r="D11" s="9" t="inlineStr">
        <is>
          <t>公式已生成的条数</t>
        </is>
      </c>
      <c r="E11" s="9" t="inlineStr">
        <is>
          <t>版本</t>
        </is>
      </c>
      <c r="F11" s="9" t="inlineStr">
        <is>
          <t>当前版本</t>
        </is>
      </c>
      <c r="G11" s="10" t="inlineStr">
        <is>
          <t>"Enterprise Prototype v1 (2026-04-07)"</t>
        </is>
      </c>
      <c r="H11" s="9" t="inlineStr">
        <is>
          <t>本次升级后的工作簿版本</t>
        </is>
      </c>
    </row>
    <row r="14">
      <c r="A14" s="21" t="inlineStr">
        <is>
          <t>建议使用顺序</t>
        </is>
      </c>
      <c r="B14" s="22" t="n"/>
      <c r="C14" s="22" t="n"/>
      <c r="D14" s="22" t="n"/>
      <c r="E14" s="22" t="n"/>
      <c r="F14" s="22" t="n"/>
      <c r="G14" s="22" t="n"/>
      <c r="H14" s="23" t="n"/>
    </row>
    <row r="15">
      <c r="A15" s="8" t="inlineStr">
        <is>
          <t>步骤</t>
        </is>
      </c>
      <c r="B15" s="8" t="inlineStr">
        <is>
          <t>先看什么</t>
        </is>
      </c>
      <c r="C15" s="8" t="inlineStr">
        <is>
          <t>为什么</t>
        </is>
      </c>
      <c r="D15" s="8" t="inlineStr">
        <is>
          <t>你要做什么</t>
        </is>
      </c>
      <c r="E15" s="8" t="inlineStr">
        <is>
          <t>系统自动做什么</t>
        </is>
      </c>
      <c r="F15" s="8" t="inlineStr">
        <is>
          <t>结果去哪看</t>
        </is>
      </c>
      <c r="G15" s="8" t="inlineStr">
        <is>
          <t>适合谁看</t>
        </is>
      </c>
      <c r="H15" s="8" t="inlineStr">
        <is>
          <t>备注</t>
        </is>
      </c>
    </row>
    <row r="16">
      <c r="A16" s="9" t="inlineStr">
        <is>
          <t>1</t>
        </is>
      </c>
      <c r="B16" s="9" t="inlineStr">
        <is>
          <t>01_手动输入</t>
        </is>
      </c>
      <c r="C16" s="9" t="inlineStr">
        <is>
          <t>这是唯一的人工入口</t>
        </is>
      </c>
      <c r="D16" s="9" t="inlineStr">
        <is>
          <t>只改 G 列实际输入值</t>
        </is>
      </c>
      <c r="E16" s="9" t="inlineStr">
        <is>
          <t>自动带出元数据</t>
        </is>
      </c>
      <c r="F16" s="9" t="inlineStr">
        <is>
          <t>01_手动输入</t>
        </is>
      </c>
      <c r="G16" s="9" t="inlineStr">
        <is>
          <t>项目成员</t>
        </is>
      </c>
      <c r="H16" s="9" t="inlineStr">
        <is>
          <t>不要改其他 Sheet</t>
        </is>
      </c>
    </row>
    <row r="17">
      <c r="A17" s="9" t="inlineStr">
        <is>
          <t>2</t>
        </is>
      </c>
      <c r="B17" s="9" t="inlineStr">
        <is>
          <t>13_证据台账</t>
        </is>
      </c>
      <c r="C17" s="9" t="inlineStr">
        <is>
          <t>确认有没有证据支撑</t>
        </is>
      </c>
      <c r="D17" s="9" t="inlineStr">
        <is>
          <t>看哪些证据包还缺</t>
        </is>
      </c>
      <c r="E17" s="9" t="inlineStr">
        <is>
          <t>按状态聚合</t>
        </is>
      </c>
      <c r="F17" s="9" t="inlineStr">
        <is>
          <t>13_证据台账</t>
        </is>
      </c>
      <c r="G17" s="9" t="inlineStr">
        <is>
          <t>合规/审查同学</t>
        </is>
      </c>
      <c r="H17" s="9" t="inlineStr">
        <is>
          <t>先补高风险证据</t>
        </is>
      </c>
    </row>
    <row r="18">
      <c r="A18" s="9" t="inlineStr">
        <is>
          <t>3</t>
        </is>
      </c>
      <c r="B18" s="9" t="inlineStr">
        <is>
          <t>14_校验规则</t>
        </is>
      </c>
      <c r="C18" s="9" t="inlineStr">
        <is>
          <t>先排低级错误</t>
        </is>
      </c>
      <c r="D18" s="9" t="inlineStr">
        <is>
          <t>看哪些规则没过</t>
        </is>
      </c>
      <c r="E18" s="9" t="inlineStr">
        <is>
          <t>公式自动判定</t>
        </is>
      </c>
      <c r="F18" s="9" t="inlineStr">
        <is>
          <t>14_校验规则</t>
        </is>
      </c>
      <c r="G18" s="9" t="inlineStr">
        <is>
          <t>建模/数据同学</t>
        </is>
      </c>
      <c r="H18" s="9" t="inlineStr">
        <is>
          <t>避免错把 demo 值当正式值</t>
        </is>
      </c>
    </row>
    <row r="19" ht="27" customHeight="1" s="30">
      <c r="A19" s="9" t="inlineStr">
        <is>
          <t>4</t>
        </is>
      </c>
      <c r="B19" s="9" t="inlineStr">
        <is>
          <t>02/03 输出</t>
        </is>
      </c>
      <c r="C19" s="9" t="inlineStr">
        <is>
          <t>生成对外口径</t>
        </is>
      </c>
      <c r="D19" s="9" t="inlineStr">
        <is>
          <t>查看 EU 与 CBAM 结果</t>
        </is>
      </c>
      <c r="E19" s="9" t="inlineStr">
        <is>
          <t>自动汇总</t>
        </is>
      </c>
      <c r="F19" s="9" t="inlineStr">
        <is>
          <t>02_欧盟电池法输出 / 03_CBAM输出</t>
        </is>
      </c>
      <c r="G19" s="9" t="inlineStr">
        <is>
          <t>讲比赛/汇报同学</t>
        </is>
      </c>
      <c r="H19" s="9" t="inlineStr">
        <is>
          <t>适合展示</t>
        </is>
      </c>
    </row>
    <row r="20">
      <c r="A20" s="9" t="inlineStr">
        <is>
          <t>5</t>
        </is>
      </c>
      <c r="B20" s="9" t="inlineStr">
        <is>
          <t>18_前端导出视图</t>
        </is>
      </c>
      <c r="C20" s="9" t="inlineStr">
        <is>
          <t>方便做产品界面</t>
        </is>
      </c>
      <c r="D20" s="9" t="inlineStr">
        <is>
          <t>给前端或 API 使用</t>
        </is>
      </c>
      <c r="E20" s="9" t="inlineStr">
        <is>
          <t>拉平字段</t>
        </is>
      </c>
      <c r="F20" s="9" t="inlineStr">
        <is>
          <t>18_前端导出视图</t>
        </is>
      </c>
      <c r="G20" s="9" t="inlineStr">
        <is>
          <t>前端/产品同学</t>
        </is>
      </c>
      <c r="H20" s="9" t="inlineStr">
        <is>
          <t>后续最容易接系统</t>
        </is>
      </c>
    </row>
    <row r="23">
      <c r="A23" s="21" t="inlineStr">
        <is>
          <t>工作簿导航</t>
        </is>
      </c>
      <c r="B23" s="22" t="n"/>
      <c r="C23" s="22" t="n"/>
      <c r="D23" s="22" t="n"/>
      <c r="E23" s="22" t="n"/>
      <c r="F23" s="22" t="n"/>
      <c r="G23" s="22" t="n"/>
      <c r="H23" s="23" t="n"/>
    </row>
    <row r="24">
      <c r="A24" s="8" t="inlineStr">
        <is>
          <t>Sheet</t>
        </is>
      </c>
      <c r="B24" s="8" t="inlineStr">
        <is>
          <t>作用</t>
        </is>
      </c>
      <c r="C24" s="8" t="inlineStr">
        <is>
          <t>是否手动填写</t>
        </is>
      </c>
      <c r="D24" s="8" t="inlineStr">
        <is>
          <t>适合谁看</t>
        </is>
      </c>
      <c r="E24" s="8" t="inlineStr">
        <is>
          <t>Sheet</t>
        </is>
      </c>
      <c r="F24" s="8" t="inlineStr">
        <is>
          <t>作用</t>
        </is>
      </c>
      <c r="G24" s="8" t="inlineStr">
        <is>
          <t>是否手动填写</t>
        </is>
      </c>
      <c r="H24" s="8" t="inlineStr">
        <is>
          <t>适合谁看</t>
        </is>
      </c>
    </row>
    <row r="25" ht="27" customHeight="1" s="30">
      <c r="A25" s="9" t="inlineStr">
        <is>
          <t>01_手动输入</t>
        </is>
      </c>
      <c r="B25" s="9" t="inlineStr">
        <is>
          <t>唯一人工入口</t>
        </is>
      </c>
      <c r="C25" s="9" t="inlineStr">
        <is>
          <t>是</t>
        </is>
      </c>
      <c r="D25" s="9" t="inlineStr">
        <is>
          <t>全部成员</t>
        </is>
      </c>
      <c r="E25" s="9" t="inlineStr">
        <is>
          <t>08_生命周期计算过程</t>
        </is>
      </c>
      <c r="F25" s="9" t="inlineStr">
        <is>
          <t>碳足迹计算拆解</t>
        </is>
      </c>
      <c r="G25" s="9" t="inlineStr">
        <is>
          <t>否</t>
        </is>
      </c>
      <c r="H25" s="9" t="inlineStr">
        <is>
          <t>LCA同学</t>
        </is>
      </c>
    </row>
    <row r="26" ht="27" customHeight="1" s="30">
      <c r="A26" s="9" t="inlineStr">
        <is>
          <t>02_欧盟电池法输出</t>
        </is>
      </c>
      <c r="B26" s="9" t="inlineStr">
        <is>
          <t>欧盟电池法结果</t>
        </is>
      </c>
      <c r="C26" s="9" t="inlineStr">
        <is>
          <t>否</t>
        </is>
      </c>
      <c r="D26" s="9" t="inlineStr">
        <is>
          <t>汇报/法规</t>
        </is>
      </c>
      <c r="E26" s="9" t="inlineStr">
        <is>
          <t>09_EU中间表</t>
        </is>
      </c>
      <c r="F26" s="9" t="inlineStr">
        <is>
          <t>EU 中间结果</t>
        </is>
      </c>
      <c r="G26" s="9" t="inlineStr">
        <is>
          <t>否</t>
        </is>
      </c>
      <c r="H26" s="9" t="inlineStr">
        <is>
          <t>系统/前端</t>
        </is>
      </c>
    </row>
    <row r="27">
      <c r="A27" s="9" t="inlineStr">
        <is>
          <t>03_CBAM输出</t>
        </is>
      </c>
      <c r="B27" s="9" t="inlineStr">
        <is>
          <t>CBAM 影子结果</t>
        </is>
      </c>
      <c r="C27" s="9" t="inlineStr">
        <is>
          <t>否</t>
        </is>
      </c>
      <c r="D27" s="9" t="inlineStr">
        <is>
          <t>汇报/采购/法规</t>
        </is>
      </c>
      <c r="E27" s="9" t="inlineStr">
        <is>
          <t>10_CBAM中间表</t>
        </is>
      </c>
      <c r="F27" s="9" t="inlineStr">
        <is>
          <t>CBAM 中间结果</t>
        </is>
      </c>
      <c r="G27" s="9" t="inlineStr">
        <is>
          <t>否</t>
        </is>
      </c>
      <c r="H27" s="9" t="inlineStr">
        <is>
          <t>系统/前端</t>
        </is>
      </c>
    </row>
    <row r="28" ht="27" customHeight="1" s="30">
      <c r="A28" s="9" t="inlineStr">
        <is>
          <t>04_字段映射过程</t>
        </is>
      </c>
      <c r="B28" s="9" t="inlineStr">
        <is>
          <t>字段怎么转</t>
        </is>
      </c>
      <c r="C28" s="9" t="inlineStr">
        <is>
          <t>否</t>
        </is>
      </c>
      <c r="D28" s="9" t="inlineStr">
        <is>
          <t>建模同学</t>
        </is>
      </c>
      <c r="E28" s="9" t="inlineStr">
        <is>
          <t>11_CATL公开披露架构</t>
        </is>
      </c>
      <c r="F28" s="9" t="inlineStr">
        <is>
          <t>CATL 公开口径拆解</t>
        </is>
      </c>
      <c r="G28" s="9" t="inlineStr">
        <is>
          <t>否</t>
        </is>
      </c>
      <c r="H28" s="9" t="inlineStr">
        <is>
          <t>研究同学</t>
        </is>
      </c>
    </row>
    <row r="29">
      <c r="A29" s="9" t="inlineStr">
        <is>
          <t>05_证据映射过程</t>
        </is>
      </c>
      <c r="B29" s="9" t="inlineStr">
        <is>
          <t>输出背后的证据</t>
        </is>
      </c>
      <c r="C29" s="9" t="inlineStr">
        <is>
          <t>否</t>
        </is>
      </c>
      <c r="D29" s="9" t="inlineStr">
        <is>
          <t>合规同学</t>
        </is>
      </c>
      <c r="E29" s="9" t="inlineStr">
        <is>
          <t>12_字段字典</t>
        </is>
      </c>
      <c r="F29" s="9" t="inlineStr">
        <is>
          <t>字段元数据中心</t>
        </is>
      </c>
      <c r="G29" s="9" t="inlineStr">
        <is>
          <t>否</t>
        </is>
      </c>
      <c r="H29" s="9" t="inlineStr">
        <is>
          <t>建模/治理</t>
        </is>
      </c>
    </row>
    <row r="30">
      <c r="A30" s="9" t="inlineStr">
        <is>
          <t>06_核验映射过程</t>
        </is>
      </c>
      <c r="B30" s="9" t="inlineStr">
        <is>
          <t>谁来确认</t>
        </is>
      </c>
      <c r="C30" s="9" t="inlineStr">
        <is>
          <t>否</t>
        </is>
      </c>
      <c r="D30" s="9" t="inlineStr">
        <is>
          <t>核验/项目管理</t>
        </is>
      </c>
      <c r="E30" s="9" t="inlineStr">
        <is>
          <t>13_证据台账</t>
        </is>
      </c>
      <c r="F30" s="9" t="inlineStr">
        <is>
          <t>证据包清单</t>
        </is>
      </c>
      <c r="G30" s="9" t="inlineStr">
        <is>
          <t>否</t>
        </is>
      </c>
      <c r="H30" s="9" t="inlineStr">
        <is>
          <t>合规/审计</t>
        </is>
      </c>
    </row>
    <row r="31" ht="27" customHeight="1" s="30">
      <c r="A31" s="9" t="inlineStr">
        <is>
          <t>07_权限映射过程</t>
        </is>
      </c>
      <c r="B31" s="9" t="inlineStr">
        <is>
          <t>谁能看什么</t>
        </is>
      </c>
      <c r="C31" s="9" t="inlineStr">
        <is>
          <t>否</t>
        </is>
      </c>
      <c r="D31" s="9" t="inlineStr">
        <is>
          <t>法务/IT/合规</t>
        </is>
      </c>
      <c r="E31" s="9" t="inlineStr">
        <is>
          <t>14-18</t>
        </is>
      </c>
      <c r="F31" s="9" t="inlineStr">
        <is>
          <t>规则/缺口/责任/前端导出</t>
        </is>
      </c>
      <c r="G31" s="9" t="inlineStr">
        <is>
          <t>否</t>
        </is>
      </c>
      <c r="H31" s="9" t="inlineStr">
        <is>
          <t>项目核心组</t>
        </is>
      </c>
    </row>
  </sheetData>
  <mergeCells count="4">
    <mergeCell ref="A23:H23"/>
    <mergeCell ref="A14:H1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2026-04-06T17:03:41Z</dcterms:created>
  <dcterms:modified xmlns:dcterms="http://purl.org/dc/terms/" xmlns:xsi="http://www.w3.org/2001/XMLSchema-instance" xsi:type="dcterms:W3CDTF">2026-04-08T07:42:24Z</dcterms:modified>
  <cp:lastModifiedBy>daniel.za.xu@connect.hku.hk</cp:lastModifiedBy>
</cp:coreProperties>
</file>